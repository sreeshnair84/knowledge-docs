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Dashboard" sheetId="1" state="visible" r:id="rId3"/>
    <sheet name="Full Comparison" sheetId="2" state="visible" r:id="rId4"/>
    <sheet name="OCI Detailed" sheetId="3" state="visible" r:id="rId5"/>
    <sheet name="DigitalOcean Detailed" sheetId="4" state="visible" r:id="rId6"/>
    <sheet name="HIPAA Coverage Matrix" sheetId="5" state="visible" r:id="rId7"/>
    <sheet name="Cost Scenari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<sst xmlns="http://schemas.openxmlformats.org/spreadsheetml/2006/main" count="908" uniqueCount="669">
  <si>
    <t xml:space="preserve">Cloud Cost Comparison — 5K DAU HIPAA Laravel App   |   April 2026</t>
  </si>
  <si>
    <t xml:space="preserve">Revalidated — All hidden costs included. Every component matched across all providers.</t>
  </si>
  <si>
    <t xml:space="preserve">CURRENT AZURE</t>
  </si>
  <si>
    <t xml:space="preserve">OPTIMISED AZURE</t>
  </si>
  <si>
    <t xml:space="preserve">ORACLE CLOUD (OCI)</t>
  </si>
  <si>
    <t xml:space="preserve">DIGITAL OCEAN</t>
  </si>
  <si>
    <t xml:space="preserve">AWS (Honest)</t>
  </si>
  <si>
    <t xml:space="preserve">GCP (Honest)</t>
  </si>
  <si>
    <t xml:space="preserve">Low</t>
  </si>
  <si>
    <t xml:space="preserve">High</t>
  </si>
  <si>
    <t xml:space="preserve">$1,780</t>
  </si>
  <si>
    <t xml:space="preserve">$3,120</t>
  </si>
  <si>
    <t xml:space="preserve">$753</t>
  </si>
  <si>
    <t xml:space="preserve">$1,073</t>
  </si>
  <si>
    <t xml:space="preserve">$206</t>
  </si>
  <si>
    <t xml:space="preserve">$440</t>
  </si>
  <si>
    <t xml:space="preserve">$248</t>
  </si>
  <si>
    <t xml:space="preserve">$381</t>
  </si>
  <si>
    <t xml:space="preserve">$380</t>
  </si>
  <si>
    <t xml:space="preserve">$680</t>
  </si>
  <si>
    <t xml:space="preserve">$350</t>
  </si>
  <si>
    <t xml:space="preserve">$650</t>
  </si>
  <si>
    <t xml:space="preserve">BASELINE</t>
  </si>
  <si>
    <t xml:space="preserve">Save 58–66%</t>
  </si>
  <si>
    <t xml:space="preserve">Save 88–86%</t>
  </si>
  <si>
    <t xml:space="preserve">Save 86–88%</t>
  </si>
  <si>
    <t xml:space="preserve">Save 79–78%</t>
  </si>
  <si>
    <t xml:space="preserve">Save 80–79%</t>
  </si>
  <si>
    <t xml:space="preserve">KEY FINDINGS</t>
  </si>
  <si>
    <t xml:space="preserve">✓ HIPAA BAA</t>
  </si>
  <si>
    <t xml:space="preserve">All 5 providers offer HIPAA BAA. OCI, AWS, Azure, GCP: formal programs. DigitalOcean: via support ticket. All are valid.</t>
  </si>
  <si>
    <t xml:space="preserve">✓ FREE Egress</t>
  </si>
  <si>
    <t xml:space="preserve">OCI gives 10TB/mo FREE egress — biggest single saving for 5K DAU app (~750GB/mo). Azure charges $0.087/GB, AWS $0.135/GB true cost.</t>
  </si>
  <si>
    <t xml:space="preserve">✓ FREE NAT GW</t>
  </si>
  <si>
    <t xml:space="preserve">OCI NAT Gateway has NO hourly fee (Azure/AWS charge $0.045/hr = ~$33-47/mo baseline).</t>
  </si>
  <si>
    <t xml:space="preserve">✓ API Gateway</t>
  </si>
  <si>
    <t xml:space="preserve">Azure APIM Standard ($700/mo fixed) vs OCI API GW ($5-15/mo usage-based). This single line item explains most of Azure's cost premium.</t>
  </si>
  <si>
    <t xml:space="preserve">✓ WAF Cost</t>
  </si>
  <si>
    <t xml:space="preserve">Azure App Gateway WAF_v2 fixed cost $323/mo+. OCI LB+WAF ~$15-35/mo. Cloudflare Pro $20/mo flat for DigitalOcean stack.</t>
  </si>
  <si>
    <t xml:space="preserve">⚠ AWS Hidden</t>
  </si>
  <si>
    <t xml:space="preserve">AWS Fargate true cost is 52% above compute alone (ALB $16+public IPv4 $7.30+CloudWatch $15+NAT $47). Not just per-vCPU.</t>
  </si>
  <si>
    <t xml:space="preserve">⚠ DO Gaps</t>
  </si>
  <si>
    <t xml:space="preserve">DigitalOcean has NO native WAF, KMS or API Gateway — requires Cloudflare ($20/mo) + Kong OSS (DIY) + HashiCorp Vault (DIY).</t>
  </si>
  <si>
    <t xml:space="preserve">⚠ OCI Complexity</t>
  </si>
  <si>
    <t xml:space="preserve">OCI is cheapest but most complex setup. Console is harder than DO/Azure. Support can be slow. Budget extra DevOps time.</t>
  </si>
  <si>
    <t xml:space="preserve">All Services vs All Providers — Complete Cost Comparison (5K DAU, HIPAA, Laravel, Production)</t>
  </si>
  <si>
    <t xml:space="preserve">OCI — Oracle Cloud</t>
  </si>
  <si>
    <t xml:space="preserve">Category</t>
  </si>
  <si>
    <t xml:space="preserve">Service / Component</t>
  </si>
  <si>
    <t xml:space="preserve">HIPAA Required?</t>
  </si>
  <si>
    <t xml:space="preserve">Requirement Level</t>
  </si>
  <si>
    <t xml:space="preserve">Notes / Purpose</t>
  </si>
  <si>
    <t xml:space="preserve">Low ($)</t>
  </si>
  <si>
    <t xml:space="preserve">High ($)</t>
  </si>
  <si>
    <t xml:space="preserve">Notes</t>
  </si>
  <si>
    <t xml:space="preserve">Security / Edge</t>
  </si>
  <si>
    <t xml:space="preserve">WAF + DDoS Protection</t>
  </si>
  <si>
    <t xml:space="preserve">Yes</t>
  </si>
  <si>
    <t xml:space="preserve">Reference</t>
  </si>
  <si>
    <t xml:space="preserve">Web app firewall, DDoS mitigation, OWASP rules</t>
  </si>
  <si>
    <t xml:space="preserve">App Gateway WAF_v2: $0.443/hr fixed=$323+CU</t>
  </si>
  <si>
    <t xml:space="preserve">Front Door Premium: WAF+bot+PL included, $330/mo flat</t>
  </si>
  <si>
    <t xml:space="preserve">OCI Load Balancer + WAF rules; no fixed gateway fee</t>
  </si>
  <si>
    <t xml:space="preserve">Cloudflare Pro: $20/mo flat, WAF+DDoS+bot included</t>
  </si>
  <si>
    <t xml:space="preserve">CloudFront+WAF: $5 WebACL+$1/rule+$0.60/M req</t>
  </si>
  <si>
    <t xml:space="preserve">Cloud Armor: $5/policy+$1/rule+$0.75/M req</t>
  </si>
  <si>
    <t xml:space="preserve">CDN / Static Asset Caching</t>
  </si>
  <si>
    <t xml:space="preserve">Recommended</t>
  </si>
  <si>
    <t xml:space="preserve">Cache static assets at edge, reduce origin traffic</t>
  </si>
  <si>
    <t xml:space="preserve">Included in Front Door (recommended) or Azure CDN</t>
  </si>
  <si>
    <t xml:space="preserve">Included in Front Door Premium recommendation</t>
  </si>
  <si>
    <t xml:space="preserve">OCI CDN: included with Object Storage/LB</t>
  </si>
  <si>
    <t xml:space="preserve">Included in Cloudflare Pro ($20 plan above)</t>
  </si>
  <si>
    <t xml:space="preserve">CloudFront distribution: ~$0/mo at low traffic</t>
  </si>
  <si>
    <t xml:space="preserve">Cloud CDN: ~$0.02/GB served after 10 TB free</t>
  </si>
  <si>
    <t xml:space="preserve">SSL/TLS Certificates</t>
  </si>
  <si>
    <t xml:space="preserve">REQUIRED</t>
  </si>
  <si>
    <t xml:space="preserve">HTTPS for all endpoints, managed renewal</t>
  </si>
  <si>
    <t xml:space="preserve">Managed certs free; wildcard ~$10/mo</t>
  </si>
  <si>
    <t xml:space="preserve">Front Door provides free managed SSL certs</t>
  </si>
  <si>
    <t xml:space="preserve">OCI: free SSL via Let's Encrypt integration</t>
  </si>
  <si>
    <t xml:space="preserve">Let's Encrypt free via DO Load Balancer built-in</t>
  </si>
  <si>
    <t xml:space="preserve">ACM (AWS Certificate Manager) free</t>
  </si>
  <si>
    <t xml:space="preserve">Google-managed SSL certs free</t>
  </si>
  <si>
    <t xml:space="preserve">DDoS Standard / Advanced</t>
  </si>
  <si>
    <t xml:space="preserve">Enterprise DDoS protection plan (optional)</t>
  </si>
  <si>
    <t xml:space="preserve">Basic free; IP Protection $199/IP/mo (optional)</t>
  </si>
  <si>
    <t xml:space="preserve">Front Door Premium includes edge DDoS mitigation</t>
  </si>
  <si>
    <t xml:space="preserve">OCI: DDoS protection built into network fabric free</t>
  </si>
  <si>
    <t xml:space="preserve">Cloudflare Pro includes DDoS protection free</t>
  </si>
  <si>
    <t xml:space="preserve">AWS Shield Standard free on CloudFront</t>
  </si>
  <si>
    <t xml:space="preserve">Cloud Armor Adaptive Protection: $0 basic</t>
  </si>
  <si>
    <t xml:space="preserve">API Management</t>
  </si>
  <si>
    <t xml:space="preserve">API Gateway / Management</t>
  </si>
  <si>
    <t xml:space="preserve">JWT validation, rate limiting, API policies, routing</t>
  </si>
  <si>
    <t xml:space="preserve">APIM Standard: ~$700/mo fixed regardless of traffic</t>
  </si>
  <si>
    <t xml:space="preserve">APIM Consumption: $0.042/M calls; 5K DAU~1.5M calls=$10-30</t>
  </si>
  <si>
    <t xml:space="preserve">OCI API Gateway: $3.50/M + minimal base; 1.5M calls~$5</t>
  </si>
  <si>
    <t xml:space="preserve">Kong OSS on Basic Droplet $6/mo self-managed</t>
  </si>
  <si>
    <t xml:space="preserve">AWS API GW HTTP: $1/M; +WAF $5+VPC Link $7-18/mo</t>
  </si>
  <si>
    <t xml:space="preserve">Cloud Endpoints free; Apigee X from $150/mo</t>
  </si>
  <si>
    <t xml:space="preserve">API Authentication (Identity Provider)</t>
  </si>
  <si>
    <t xml:space="preserve">OAuth2/OIDC, user management, SSO, MFA</t>
  </si>
  <si>
    <t xml:space="preserve">Entra External ID: first 50K MAU free; $0 at 5K DAU</t>
  </si>
  <si>
    <t xml:space="preserve">Same — Entra External ID free at 5K DAU</t>
  </si>
  <si>
    <t xml:space="preserve">OCI IDCS: first 10K free; $0.015/MAU after</t>
  </si>
  <si>
    <t xml:space="preserve">Firebase Auth: free up to 50K MAU; $0 at 5K DAU</t>
  </si>
  <si>
    <t xml:space="preserve">Cognito: first 50K MAU free; $0 at 5K DAU</t>
  </si>
  <si>
    <t xml:space="preserve">Firebase Auth: free up to 50K MAU</t>
  </si>
  <si>
    <t xml:space="preserve">Compute</t>
  </si>
  <si>
    <t xml:space="preserve">Application Server (Laravel)</t>
  </si>
  <si>
    <t xml:space="preserve">Run Laravel PHP app; redundant instances for HA</t>
  </si>
  <si>
    <t xml:space="preserve">2x P2v3 Linux PAYG: ~$0.17-0.21/hr each x730hr</t>
  </si>
  <si>
    <t xml:space="preserve">Container Apps Consumption: scale-to-zero; 180K vCPU-sec free</t>
  </si>
  <si>
    <t xml:space="preserve">2x VM.Standard.E4.Flex 2OCPU/16GB: $0.025/OCPU-hr x730</t>
  </si>
  <si>
    <t xml:space="preserve">2x General Purpose 4vCPU/8GB Droplet: $48/mo each</t>
  </si>
  <si>
    <t xml:space="preserve">Fargate 2 tasks+ALB+CloudWatch+IPv4: 52% above compute</t>
  </si>
  <si>
    <t xml:space="preserve">Cloud Run: scale-to-zero; $0.000024/vCPU-sec</t>
  </si>
  <si>
    <t xml:space="preserve">Container Registry</t>
  </si>
  <si>
    <t xml:space="preserve">Store and manage Docker images for deployment</t>
  </si>
  <si>
    <t xml:space="preserve">Azure Container Registry: Basic $5/mo, Standard $20/mo</t>
  </si>
  <si>
    <t xml:space="preserve">Azure Container Registry: same</t>
  </si>
  <si>
    <t xml:space="preserve">OCI Container Registry: $0.10/GB stored</t>
  </si>
  <si>
    <t xml:space="preserve">DO Container Registry: free tier 1 repo; $5/mo basic</t>
  </si>
  <si>
    <t xml:space="preserve">AWS ECR: $0.10/GB stored; ~50GB images=$5/mo</t>
  </si>
  <si>
    <t xml:space="preserve">Artifact Registry: $0.10/GB stored</t>
  </si>
  <si>
    <t xml:space="preserve">Auto-scaling</t>
  </si>
  <si>
    <t xml:space="preserve">Automatically scale up/down based on traffic</t>
  </si>
  <si>
    <t xml:space="preserve">App Service built-in auto-scale; min 2 instances</t>
  </si>
  <si>
    <t xml:space="preserve">Container Apps KEDA: scale to 0; no extra cost</t>
  </si>
  <si>
    <t xml:space="preserve">OCI Autoscaling: free; scales instance pools</t>
  </si>
  <si>
    <t xml:space="preserve">DO App Platform: autoscale on dedicated plans; free</t>
  </si>
  <si>
    <t xml:space="preserve">Fargate: ECS auto-scaling free; task provisioning cost</t>
  </si>
  <si>
    <t xml:space="preserve">Cloud Run: built-in autoscaling; scale to 0</t>
  </si>
  <si>
    <t xml:space="preserve">Database</t>
  </si>
  <si>
    <t xml:space="preserve">MySQL Database (Primary)</t>
  </si>
  <si>
    <t xml:space="preserve">Production MySQL with HA failover for HIPAA</t>
  </si>
  <si>
    <t xml:space="preserve">MySQL Flexible Server GP D2s: $0.18/hr x730+100GB storage</t>
  </si>
  <si>
    <t xml:space="preserve">Same but 1-yr Reserved Instance: ~35% saving</t>
  </si>
  <si>
    <t xml:space="preserve">OCI MySQL DB System HA E4.Flex: $0.025/OCPU-hr x2 OCPUs x2</t>
  </si>
  <si>
    <t xml:space="preserve">DO Managed MySQL 4GB+standby: $80-120/mo dedicated</t>
  </si>
  <si>
    <t xml:space="preserve">RDS MySQL Multi-AZ db.t3.medium: doubles compute</t>
  </si>
  <si>
    <t xml:space="preserve">Cloud SQL MySQL HA: db-n1-standard-1 x2 for HA</t>
  </si>
  <si>
    <t xml:space="preserve">Database Backup &amp; Point-in-Time Recovery</t>
  </si>
  <si>
    <t xml:space="preserve">Automated backups, retention, PITR for compliance</t>
  </si>
  <si>
    <t xml:space="preserve">Azure MySQL: $0.095/GB beyond provisioned storage</t>
  </si>
  <si>
    <t xml:space="preserve">Same rate; slightly less with optimisation</t>
  </si>
  <si>
    <t xml:space="preserve">OCI MySQL: backup $0.025/GB stored; 35-day retention</t>
  </si>
  <si>
    <t xml:space="preserve">DO Managed DB backup: 20-30% of DB node cost</t>
  </si>
  <si>
    <t xml:space="preserve">RDS backup: $0.095/GB beyond free tier (=DB size)</t>
  </si>
  <si>
    <t xml:space="preserve">Cloud SQL backup: $0.08/GB beyond free tier</t>
  </si>
  <si>
    <t xml:space="preserve">Database Encryption at Rest</t>
  </si>
  <si>
    <t xml:space="preserve">HIPAA requirement: encrypt all stored PHI data</t>
  </si>
  <si>
    <t xml:space="preserve">Included: Azure MySQL encrypts at rest by default</t>
  </si>
  <si>
    <t xml:space="preserve">Included in Azure MySQL</t>
  </si>
  <si>
    <t xml:space="preserve">Included: OCI MySQL encrypts at rest by default</t>
  </si>
  <si>
    <t xml:space="preserve">Included: DO Managed DB encrypts at rest</t>
  </si>
  <si>
    <t xml:space="preserve">Included: RDS encrypts at rest with KMS</t>
  </si>
  <si>
    <t xml:space="preserve">Included: Cloud SQL encrypts at rest by default</t>
  </si>
  <si>
    <t xml:space="preserve">Networking</t>
  </si>
  <si>
    <t xml:space="preserve">Load Balancer</t>
  </si>
  <si>
    <t xml:space="preserve">Distribute traffic, health checks, SSL termination</t>
  </si>
  <si>
    <t xml:space="preserve">Included in App Gateway WAF_v2 (combined above)</t>
  </si>
  <si>
    <t xml:space="preserve">Included in Front Door Premium (combined above)</t>
  </si>
  <si>
    <t xml:space="preserve">OCI Flexible LB: $0.008/Mbps-hr; no separate WAF charge</t>
  </si>
  <si>
    <t xml:space="preserve">DO Regional LB: $12/mo/node; includes Let's Encrypt SSL</t>
  </si>
  <si>
    <t xml:space="preserve">AWS ALB: $0.008/hr=$5.84+LCU ~$20-25 total</t>
  </si>
  <si>
    <t xml:space="preserve">Cloud LB: $0.025/rule/hr=$18+forwarding rules</t>
  </si>
  <si>
    <t xml:space="preserve">NAT Gateway</t>
  </si>
  <si>
    <t xml:space="preserve">N/A</t>
  </si>
  <si>
    <t xml:space="preserve">Outbound internet for private subnet resources</t>
  </si>
  <si>
    <t xml:space="preserve">Azure NAT GW: $0.045/hr x730=$32.85 + $0.045/GB data</t>
  </si>
  <si>
    <t xml:space="preserve">Same — required for outbound; no change</t>
  </si>
  <si>
    <t xml:space="preserve">OCI NAT GW: FREE no hourly charge; data counts to 10TB free</t>
  </si>
  <si>
    <t xml:space="preserve">DO: outbound included in Droplet bandwidth pool</t>
  </si>
  <si>
    <t xml:space="preserve">AWS NAT GW: $0.065/hr x730=$47.45 + $0.045/GB data</t>
  </si>
  <si>
    <t xml:space="preserve">GCP Cloud NAT: $0.044/hr x730=$32.12 + $0.045/GB</t>
  </si>
  <si>
    <t xml:space="preserve">Static Public IP Address</t>
  </si>
  <si>
    <t xml:space="preserve">Fixed IP for WAF/Gateway entry point</t>
  </si>
  <si>
    <t xml:space="preserve">Azure Static IP: $0.005/hr x730=$3.65 per IP</t>
  </si>
  <si>
    <t xml:space="preserve">Same; Front Door uses Microsoft-managed IPs</t>
  </si>
  <si>
    <t xml:space="preserve">OCI: one public IP per instance free in free tier</t>
  </si>
  <si>
    <t xml:space="preserve">DO: public IP included with Droplet at no extra cost</t>
  </si>
  <si>
    <t xml:space="preserve">AWS: public IPv4 $0.005/hr per task/IP since Feb 2024</t>
  </si>
  <si>
    <t xml:space="preserve">GCP: static external IP $0.004/hr when in use</t>
  </si>
  <si>
    <t xml:space="preserve">VNet / VPC Peering &amp; Private Networking</t>
  </si>
  <si>
    <t xml:space="preserve">Private connectivity between app and database tiers</t>
  </si>
  <si>
    <t xml:space="preserve">Azure VNet Peering: $0.01/GB in + $0.01/GB out same region</t>
  </si>
  <si>
    <t xml:space="preserve">Slightly reduced with Front Door Private Link</t>
  </si>
  <si>
    <t xml:space="preserve">OCI VCN: private traffic within region FREE</t>
  </si>
  <si>
    <t xml:space="preserve">DO VPC: private networking FREE between Droplets</t>
  </si>
  <si>
    <t xml:space="preserve">AWS VPC: no peering charge same VPC; $0.01/GB cross-AZ</t>
  </si>
  <si>
    <t xml:space="preserve">GCP VPC: intra-region private traffic FREE</t>
  </si>
  <si>
    <t xml:space="preserve">Cross-AZ / Cross-Zone Data Transfer</t>
  </si>
  <si>
    <t xml:space="preserve">Data movement between availability zones for HA</t>
  </si>
  <si>
    <t xml:space="preserve">Azure: $0.01/GB between AZs — affects Multi-AZ DB</t>
  </si>
  <si>
    <t xml:space="preserve">Similar; reduced with Front Door edge caching</t>
  </si>
  <si>
    <t xml:space="preserve">OCI: cross-AD traffic within region: FREE</t>
  </si>
  <si>
    <t xml:space="preserve">DO: no AZ concept — same datacenter; FREE</t>
  </si>
  <si>
    <t xml:space="preserve">AWS: $0.01/GB each way ($0.02 round-trip) between AZs</t>
  </si>
  <si>
    <t xml:space="preserve">GCP: $0.01/GB between zones in same region</t>
  </si>
  <si>
    <t xml:space="preserve">Outbound Bandwidth (Egress)</t>
  </si>
  <si>
    <t xml:space="preserve">Data from cloud to mobile app users</t>
  </si>
  <si>
    <t xml:space="preserve">Azure: $0.087/GB x 500-1000GB/mo at 5K DAU</t>
  </si>
  <si>
    <t xml:space="preserve">Reduced: Front Door CDN caches 30-40% of responses</t>
  </si>
  <si>
    <t xml:space="preserve">OCI: FIRST 10 TB/mo FREE; 5K DAU uses ~750GB</t>
  </si>
  <si>
    <t xml:space="preserve">DO: 5TB pooled bandwidth/Droplet included; ~750GB used</t>
  </si>
  <si>
    <t xml:space="preserve">AWS: $0.09/GB + NAT processing = $0.135/GB true cost</t>
  </si>
  <si>
    <t xml:space="preserve">GCP: $0.12/GB first TB — most expensive of all providers</t>
  </si>
  <si>
    <t xml:space="preserve">Private Link / Private Endpoints</t>
  </si>
  <si>
    <t xml:space="preserve">Private connectivity to PaaS services (HIPAA networking)</t>
  </si>
  <si>
    <t xml:space="preserve">$0.01/hr x 2 endpoints x 730hrs = $14.60</t>
  </si>
  <si>
    <t xml:space="preserve">Eliminated: Front Door Premium includes Private Link</t>
  </si>
  <si>
    <t xml:space="preserve">OCI: VCN service gateway FREE; no separate endpoint fee</t>
  </si>
  <si>
    <t xml:space="preserve">DO: Managed DBs on same VPC; private access FREE</t>
  </si>
  <si>
    <t xml:space="preserve">AWS VPC Interface Endpoints: $0.01/hr + $0.01/GB each</t>
  </si>
  <si>
    <t xml:space="preserve">GCP Private Service Connect: $0.01/hr per endpoint</t>
  </si>
  <si>
    <t xml:space="preserve">DNS Management</t>
  </si>
  <si>
    <t xml:space="preserve">Domain name resolution for all services</t>
  </si>
  <si>
    <t xml:space="preserve">Azure DNS: $0.50/zone + $0.40/million queries</t>
  </si>
  <si>
    <t xml:space="preserve">Same</t>
  </si>
  <si>
    <t xml:space="preserve">OCI DNS: $0.70/zone + $0.40/M queries</t>
  </si>
  <si>
    <t xml:space="preserve">DO DNS: FREE for all accounts</t>
  </si>
  <si>
    <t xml:space="preserve">Route 53: $0.50/hosted zone + $0.40/M queries</t>
  </si>
  <si>
    <t xml:space="preserve">Cloud DNS: $0.20/zone + $0.40/M queries</t>
  </si>
  <si>
    <t xml:space="preserve">Security / Compliance</t>
  </si>
  <si>
    <t xml:space="preserve">Key Management (KMS / Vault)</t>
  </si>
  <si>
    <t xml:space="preserve">Encrypt DB keys, API keys, secrets management</t>
  </si>
  <si>
    <t xml:space="preserve">Azure Key Vault: $5/mo base + $0.03/10K operations</t>
  </si>
  <si>
    <t xml:space="preserve">OCI Vault: $0.60/software key/mo + $0.15/10K API calls</t>
  </si>
  <si>
    <t xml:space="preserve">HashiCorp Vault OSS on $6 Basic Droplet (self-managed)</t>
  </si>
  <si>
    <t xml:space="preserve">AWS KMS: $1/key/mo + $0.03/10K API calls</t>
  </si>
  <si>
    <t xml:space="preserve">Cloud KMS: $0.06/key version/mo + API calls</t>
  </si>
  <si>
    <t xml:space="preserve">Audit Logging (HIPAA Requirement)</t>
  </si>
  <si>
    <t xml:space="preserve">MANDATORY</t>
  </si>
  <si>
    <t xml:space="preserve">Immutable audit trail of all PHI access — HIPAA mandatory</t>
  </si>
  <si>
    <t xml:space="preserve">Log Analytics: $2.76/GB after 5GB free; HIPAA needs full logs</t>
  </si>
  <si>
    <t xml:space="preserve">Capped to 2GB/day + Blob archive; saves $100-200/mo</t>
  </si>
  <si>
    <t xml:space="preserve">OCI Logging Analytics: first 10GB free; $0.0025/GB after</t>
  </si>
  <si>
    <t xml:space="preserve">DO Monitoring free + Papertrail/Logtail: $7-20/mo</t>
  </si>
  <si>
    <t xml:space="preserve">CloudWatch Logs: $0.50/GB ingestion; retention charges</t>
  </si>
  <si>
    <t xml:space="preserve">Cloud Logging: first 50GB/project free; $0.01/GB after</t>
  </si>
  <si>
    <t xml:space="preserve">Log Retention (3-Year HIPAA)</t>
  </si>
  <si>
    <t xml:space="preserve">Archive logs for 3 years per HIPAA requirement</t>
  </si>
  <si>
    <t xml:space="preserve">Azure Blob Archive: $0.002/GB/mo; cheapest tier</t>
  </si>
  <si>
    <t xml:space="preserve">OCI Archive Storage: $0.0026/GB/mo</t>
  </si>
  <si>
    <t xml:space="preserve">DO Spaces: $0.02/GB for overflow beyond 250GB</t>
  </si>
  <si>
    <t xml:space="preserve">S3 Glacier Deep Archive: $0.00099/GB/mo</t>
  </si>
  <si>
    <t xml:space="preserve">Cloud Storage Archive: $0.0012/GB/mo</t>
  </si>
  <si>
    <t xml:space="preserve">HIPAA BAA Agreement</t>
  </si>
  <si>
    <t xml:space="preserve">Business Associate Agreement — LEGALLY REQUIRED for PHI</t>
  </si>
  <si>
    <t xml:space="preserve">Available — contact Microsoft/Azure enterprise team</t>
  </si>
  <si>
    <t xml:space="preserve">Same — Azure BAA carries over</t>
  </si>
  <si>
    <t xml:space="preserve">Available — oracle.com/cloud/public-cloud-regions/hipaa</t>
  </si>
  <si>
    <t xml:space="preserve">Available — create support ticket with Heroku/DO team</t>
  </si>
  <si>
    <t xml:space="preserve">Available — aws.amazon.com/compliance/hipaa-eligible-services</t>
  </si>
  <si>
    <t xml:space="preserve">Available — cloud.google.com/security/compliance/hipaa</t>
  </si>
  <si>
    <t xml:space="preserve">DDoS Monitoring &amp; Alerting</t>
  </si>
  <si>
    <t xml:space="preserve">Real-time alerts on attack patterns</t>
  </si>
  <si>
    <t xml:space="preserve">Azure Monitor Alerts: 1000 free; SMS/email extra</t>
  </si>
  <si>
    <t xml:space="preserve">OCI Monitoring: first 500M data points free</t>
  </si>
  <si>
    <t xml:space="preserve">Cloudflare Pro: DDoS analytics included free</t>
  </si>
  <si>
    <t xml:space="preserve">AWS CloudWatch Alarms: first 10 alarms free</t>
  </si>
  <si>
    <t xml:space="preserve">GCP Monitoring: free basic tier</t>
  </si>
  <si>
    <t xml:space="preserve">Monitoring / Observability</t>
  </si>
  <si>
    <t xml:space="preserve">Application Performance Monitoring</t>
  </si>
  <si>
    <t xml:space="preserve">App metrics, traces, performance insights</t>
  </si>
  <si>
    <t xml:space="preserve">Azure Monitor / App Insights: $2.76/GB ingestion</t>
  </si>
  <si>
    <t xml:space="preserve">Capped ingestion reduces cost</t>
  </si>
  <si>
    <t xml:space="preserve">OCI APM: $0.10/1000 spans; free first 1B spans/mo</t>
  </si>
  <si>
    <t xml:space="preserve">DO Monitoring built-in free + Papertrail $7/mo</t>
  </si>
  <si>
    <t xml:space="preserve">CloudWatch Metrics: $0.30/custom metric/mo</t>
  </si>
  <si>
    <t xml:space="preserve">Cloud Monitoring: free basic; $0.01/MiB over 150MiB</t>
  </si>
  <si>
    <t xml:space="preserve">Infrastructure Monitoring &amp; Alerts</t>
  </si>
  <si>
    <t xml:space="preserve">CPU, memory, disk alerts for all servers</t>
  </si>
  <si>
    <t xml:space="preserve">Azure Monitor Alerts included in Monitor subscription</t>
  </si>
  <si>
    <t xml:space="preserve">OCI Monitoring: first 500M datapoints FREE</t>
  </si>
  <si>
    <t xml:space="preserve">DO Monitoring: FREE built-in with all Droplets</t>
  </si>
  <si>
    <t xml:space="preserve">CloudWatch: basic EC2 metrics free; detailed $0.30/metric</t>
  </si>
  <si>
    <t xml:space="preserve">Cloud Monitoring: free basic tier included</t>
  </si>
  <si>
    <t xml:space="preserve">Error Tracking &amp; Uptime Checks</t>
  </si>
  <si>
    <t xml:space="preserve">Endpoint health checks, error rate monitoring</t>
  </si>
  <si>
    <t xml:space="preserve">Azure Monitor availability tests: $0.0028/test/month</t>
  </si>
  <si>
    <t xml:space="preserve">OCI: health checks included with Load Balancer FREE</t>
  </si>
  <si>
    <t xml:space="preserve">DO Load Balancer: health checks included FREE</t>
  </si>
  <si>
    <t xml:space="preserve">Route 53 health checks: $0.50-0.75/check/mo</t>
  </si>
  <si>
    <t xml:space="preserve">Cloud Monitoring uptime checks: free up to 1M/mo</t>
  </si>
  <si>
    <t xml:space="preserve">Support</t>
  </si>
  <si>
    <t xml:space="preserve">Technical Support Plan</t>
  </si>
  <si>
    <t xml:space="preserve">SLA-backed support — required for HIPAA production</t>
  </si>
  <si>
    <t xml:space="preserve">Standard $100/mo; Premier $300+/mo</t>
  </si>
  <si>
    <t xml:space="preserve">Basic free; Oracle Support from $100/mo</t>
  </si>
  <si>
    <t xml:space="preserve">DO Basic free; Premium custom pricing</t>
  </si>
  <si>
    <t xml:space="preserve">Developer $29/mo; Business $100+3% spend</t>
  </si>
  <si>
    <t xml:space="preserve">GCP Enhanced Support: $100/mo or 3% monthly spend</t>
  </si>
  <si>
    <t xml:space="preserve">MONTHLY TOTAL (ALL COMPONENTS SUMMED)</t>
  </si>
  <si>
    <t xml:space="preserve">Verified Azure Pricing Calculator Apr 2026</t>
  </si>
  <si>
    <t xml:space="preserve">Estimated savings 55-65%</t>
  </si>
  <si>
    <t xml:space="preserve">OCI pricing page + OCI Cost FAQ</t>
  </si>
  <si>
    <t xml:space="preserve">DO pricing page Mar 2026</t>
  </si>
  <si>
    <t xml:space="preserve">AWS pricing pages + cloudburn.io Apr 2026</t>
  </si>
  <si>
    <t xml:space="preserve">GCP pricing pages Apr 2026</t>
  </si>
  <si>
    <t xml:space="preserve">Oracle Cloud Infrastructure (OCI) — Full Cost Breakdown for 5K DAU HIPAA App</t>
  </si>
  <si>
    <t xml:space="preserve">Key advantage: 10TB FREE egress/mo + $0/hr NAT Gateway + same price in ALL regions globally</t>
  </si>
  <si>
    <t xml:space="preserve">Component</t>
  </si>
  <si>
    <t xml:space="preserve">OCI Service Used</t>
  </si>
  <si>
    <t xml:space="preserve">Spec / Config</t>
  </si>
  <si>
    <t xml:space="preserve">Rate Basis &amp; Source</t>
  </si>
  <si>
    <t xml:space="preserve">Security/Edge</t>
  </si>
  <si>
    <t xml:space="preserve">WAF + Load Balancer</t>
  </si>
  <si>
    <t xml:space="preserve">OCI WAF + Flexible LB</t>
  </si>
  <si>
    <t xml:space="preserve">Flexible LB 10 Mbps shape + WAF rules</t>
  </si>
  <si>
    <t xml:space="preserve">OCI LB: $0.008/Mbps-hr x10 Mbps x730hr=$58.40 (min). WAF policy included. No separate gateway fee. oracle.com/cloud/price-list</t>
  </si>
  <si>
    <t xml:space="preserve">CDN</t>
  </si>
  <si>
    <t xml:space="preserve">OCI CDN via Object Storage</t>
  </si>
  <si>
    <t xml:space="preserve">CDN endpoints via Object Storage</t>
  </si>
  <si>
    <t xml:space="preserve">OCI CDN: no separate charge beyond Object Storage egress. First 10TB egress free.</t>
  </si>
  <si>
    <t xml:space="preserve">SSL Certificates</t>
  </si>
  <si>
    <t xml:space="preserve">Let's Encrypt via OCI</t>
  </si>
  <si>
    <t xml:space="preserve">Managed via LB + Let's Encrypt</t>
  </si>
  <si>
    <t xml:space="preserve">FREE — OCI LB integrates with Let's Encrypt automatically.</t>
  </si>
  <si>
    <t xml:space="preserve">DDoS Protection</t>
  </si>
  <si>
    <t xml:space="preserve">OCI Network DDoS</t>
  </si>
  <si>
    <t xml:space="preserve">Built into OCI network fabric</t>
  </si>
  <si>
    <t xml:space="preserve">FREE — DDoS protection built into OCI network layer at no extra charge.</t>
  </si>
  <si>
    <t xml:space="preserve">API Mgmt</t>
  </si>
  <si>
    <t xml:space="preserve">API Gateway</t>
  </si>
  <si>
    <t xml:space="preserve">OCI API Gateway</t>
  </si>
  <si>
    <t xml:space="preserve">Usage-based; 1.5M calls/mo at 5K DAU</t>
  </si>
  <si>
    <t xml:space="preserve">$3.50/million API calls + ~$1 base. At 1.5M calls: $5.25/mo. oracle.com/cloud/price-list</t>
  </si>
  <si>
    <t xml:space="preserve">Identity / Auth</t>
  </si>
  <si>
    <t xml:space="preserve">OCI IDCS</t>
  </si>
  <si>
    <t xml:space="preserve">5K MAU — within free tier</t>
  </si>
  <si>
    <t xml:space="preserve">First 10K MAU free. 5K DAU likely free. $0.015/MAU after. oracle.com/cloud/identity</t>
  </si>
  <si>
    <t xml:space="preserve">App Server (2 instances)</t>
  </si>
  <si>
    <t xml:space="preserve">OCI VM.Standard.E4.Flex</t>
  </si>
  <si>
    <t xml:space="preserve">2x VM: 2 OCPU, 16GB RAM each</t>
  </si>
  <si>
    <t xml:space="preserve">E4.Flex: $0.025/OCPU-hr x2 OCPU x730hr=$36.50 per VM. Memory: $0.0015/GB-hr x16GB x730hr=$17.52. Total per VM ~$54. x2=$108. oracle.com/cloud/compute/pricing</t>
  </si>
  <si>
    <t xml:space="preserve">OCI Container Registry</t>
  </si>
  <si>
    <t xml:space="preserve">~50GB Docker images stored</t>
  </si>
  <si>
    <t xml:space="preserve">$0.10/GB-mo x50GB=$5/mo. oracle.com/cloud/price-list</t>
  </si>
  <si>
    <t xml:space="preserve">OCI Autoscaling</t>
  </si>
  <si>
    <t xml:space="preserve">Instance pool auto-scaling</t>
  </si>
  <si>
    <t xml:space="preserve">FREE — Autoscaling service has no additional charge. You pay only for instances provisioned.</t>
  </si>
  <si>
    <t xml:space="preserve">MySQL Database HA</t>
  </si>
  <si>
    <t xml:space="preserve">OCI MySQL DB System</t>
  </si>
  <si>
    <t xml:space="preserve">E4.Flex HA: 2 OCPU + standby</t>
  </si>
  <si>
    <t xml:space="preserve">MySQL HeatWave: $0.025/OCPU-hr x2 OCPU x730hr=$36.50 primary + standby replica ~same. +100GB storage $0.025/GB=$2.50. oracle.com/mysql/pricing</t>
  </si>
  <si>
    <t xml:space="preserve">DB Backup (PITR)</t>
  </si>
  <si>
    <t xml:space="preserve">OCI Block Volume Backup</t>
  </si>
  <si>
    <t xml:space="preserve">35-day retention, ~100GB</t>
  </si>
  <si>
    <t xml:space="preserve">OCI backup: $0.025/GB-mo x 100GB x 35 day retention factor. oracle.com/cloud/storage/block-volumes</t>
  </si>
  <si>
    <t xml:space="preserve">Encryption at Rest</t>
  </si>
  <si>
    <t xml:space="preserve">OCI Vault (included)</t>
  </si>
  <si>
    <t xml:space="preserve">Encrypted by default</t>
  </si>
  <si>
    <t xml:space="preserve">FREE — OCI MySQL encrypts at rest by default. No extra charge.</t>
  </si>
  <si>
    <t xml:space="preserve">OCI NAT Gateway</t>
  </si>
  <si>
    <t xml:space="preserve">Outbound from private subnets</t>
  </si>
  <si>
    <t xml:space="preserve">FREE — OCI NAT Gateway has NO hourly fee. (AWS charges $0.065/hr, Azure $0.045/hr). redresscompliance.com OCI Cost FAQ.</t>
  </si>
  <si>
    <t xml:space="preserve">Included above</t>
  </si>
  <si>
    <t xml:space="preserve">See WAF/LB above</t>
  </si>
  <si>
    <t xml:space="preserve">Combined with WAF/LB line above.</t>
  </si>
  <si>
    <t xml:space="preserve">Public IP</t>
  </si>
  <si>
    <t xml:space="preserve">OCI Public IP</t>
  </si>
  <si>
    <t xml:space="preserve">1 public IP per instance — first free</t>
  </si>
  <si>
    <t xml:space="preserve">First public IP per instance FREE in free tier. oracle.com/cloud/price-list</t>
  </si>
  <si>
    <t xml:space="preserve">Private VCN</t>
  </si>
  <si>
    <t xml:space="preserve">OCI VCN</t>
  </si>
  <si>
    <t xml:space="preserve">Private networking app-to-DB</t>
  </si>
  <si>
    <t xml:space="preserve">FREE — All private traffic within OCI VCN in same region is free.</t>
  </si>
  <si>
    <t xml:space="preserve">Cross-AZ Transfer</t>
  </si>
  <si>
    <t xml:space="preserve">OCI Cross-AD</t>
  </si>
  <si>
    <t xml:space="preserve">Between availability domains</t>
  </si>
  <si>
    <t xml:space="preserve">FREE — OCI cross-Availability Domain traffic within same region is FREE (unlike AWS $0.02/GB round-trip).</t>
  </si>
  <si>
    <t xml:space="preserve">Egress Bandwidth</t>
  </si>
  <si>
    <t xml:space="preserve">OCI Network Egress</t>
  </si>
  <si>
    <t xml:space="preserve">~750GB/mo at 5K DAU</t>
  </si>
  <si>
    <t xml:space="preserve">FREE — First 10TB/mo egress FREE globally. 5K DAU app uses ~750GB/mo = well under limit. oracle.com/cloud/networking/virtual-cloud-network-pricing</t>
  </si>
  <si>
    <t xml:space="preserve">Private Link / Service Gateway</t>
  </si>
  <si>
    <t xml:space="preserve">OCI Service Gateway</t>
  </si>
  <si>
    <t xml:space="preserve">Private access to OCI services</t>
  </si>
  <si>
    <t xml:space="preserve">FREE — OCI Service Gateway has no hourly or per-GB charge.</t>
  </si>
  <si>
    <t xml:space="preserve">DNS</t>
  </si>
  <si>
    <t xml:space="preserve">OCI DNS</t>
  </si>
  <si>
    <t xml:space="preserve">Domain management</t>
  </si>
  <si>
    <t xml:space="preserve">$0.70/hosted zone/mo + $0.40/million queries. oracle.com/cloud/networking/dns-pricing</t>
  </si>
  <si>
    <t xml:space="preserve">Security/Compliance</t>
  </si>
  <si>
    <t xml:space="preserve">Key Management</t>
  </si>
  <si>
    <t xml:space="preserve">OCI Vault</t>
  </si>
  <si>
    <t xml:space="preserve">Software keys for DB/API encryption</t>
  </si>
  <si>
    <t xml:space="preserve">$0.60/software master key/mo + $0.15/10K API calls. oracle.com/security/cloud-security/key-management</t>
  </si>
  <si>
    <t xml:space="preserve">Audit Logging (HIPAA)</t>
  </si>
  <si>
    <t xml:space="preserve">OCI Logging Analytics</t>
  </si>
  <si>
    <t xml:space="preserve">~5-10GB/mo ingestion</t>
  </si>
  <si>
    <t xml:space="preserve">First 10GB free per month. $0.0025/GB after. For HIPAA: budget ~$5-20/mo. oracle.com/cloud/price-list</t>
  </si>
  <si>
    <t xml:space="preserve">Log Retention 3yr</t>
  </si>
  <si>
    <t xml:space="preserve">OCI Archive Storage</t>
  </si>
  <si>
    <t xml:space="preserve">Cold archive tier</t>
  </si>
  <si>
    <t xml:space="preserve">$0.0026/GB-mo archive tier. Much cheaper than active storage. oracle.com/cloud/storage/archive</t>
  </si>
  <si>
    <t xml:space="preserve">HIPAA BAA</t>
  </si>
  <si>
    <t xml:space="preserve">OCI HIPAA Program</t>
  </si>
  <si>
    <t xml:space="preserve">BAA agreement</t>
  </si>
  <si>
    <t xml:space="preserve">FREE — Available from oracle.com/cloud/public-cloud-regions/hipaa. Must request and sign.</t>
  </si>
  <si>
    <t xml:space="preserve">Monitoring</t>
  </si>
  <si>
    <t xml:space="preserve">APM / App Insights</t>
  </si>
  <si>
    <t xml:space="preserve">OCI APM</t>
  </si>
  <si>
    <t xml:space="preserve">Application traces, metrics</t>
  </si>
  <si>
    <t xml:space="preserve">First 1 billion spans/mo free. $0.10/1000 spans after. oracle.com/cloud/price-list</t>
  </si>
  <si>
    <t xml:space="preserve">Infrastructure Monitoring</t>
  </si>
  <si>
    <t xml:space="preserve">OCI Monitoring</t>
  </si>
  <si>
    <t xml:space="preserve">VM/DB metrics, alerts</t>
  </si>
  <si>
    <t xml:space="preserve">FREE — First 500 million raw metrics datapoints/mo free. oracle.com/cloud/price-list</t>
  </si>
  <si>
    <t xml:space="preserve">Uptime / Health Checks</t>
  </si>
  <si>
    <t xml:space="preserve">OCI Health Checks</t>
  </si>
  <si>
    <t xml:space="preserve">Endpoint monitoring</t>
  </si>
  <si>
    <t xml:space="preserve">FREE — Included with Load Balancer health probes.</t>
  </si>
  <si>
    <t xml:space="preserve">Technical Support</t>
  </si>
  <si>
    <t xml:space="preserve">Oracle Support Basic</t>
  </si>
  <si>
    <t xml:space="preserve">Documentation access</t>
  </si>
  <si>
    <t xml:space="preserve">Basic: free docs only. Oracle Support for production: from $100/mo. Contact Oracle sales for enterprise agreements.</t>
  </si>
  <si>
    <t xml:space="preserve">OCI TOTAL (ALL COMPONENTS)</t>
  </si>
  <si>
    <t xml:space="preserve">Source: oracle.com/cloud/price-list + redresscompliance.com OCI Cost FAQ + finout.io OCI Costs Overview</t>
  </si>
  <si>
    <t xml:space="preserve">DigitalOcean — Full Cost Breakdown for 5K DAU HIPAA App</t>
  </si>
  <si>
    <t xml:space="preserve">Key advantage: Included bandwidth (500GiB-5TB/Droplet), $12/mo LB, $0.01/GB egress overage — transparent flat pricing</t>
  </si>
  <si>
    <t xml:space="preserve">DO Service Used</t>
  </si>
  <si>
    <t xml:space="preserve">Cloudflare Pro</t>
  </si>
  <si>
    <t xml:space="preserve">WAF rules, bot protection, DDoS, analytics</t>
  </si>
  <si>
    <t xml:space="preserve">$20/mo flat. Includes managed WAF, bot protection, DDoS mitigation, 50 page rules, analytics. cloudflare.com/plans. HIPAA BAA available from Cloudflare.</t>
  </si>
  <si>
    <t xml:space="preserve">Cloudflare CDN (included)</t>
  </si>
  <si>
    <t xml:space="preserve">Global edge caching included in Pro plan</t>
  </si>
  <si>
    <t xml:space="preserve">FREE — Included in Cloudflare Pro $20/mo plan above. Global CDN with 300+ PoPs.</t>
  </si>
  <si>
    <t xml:space="preserve">Let's Encrypt via DO LB</t>
  </si>
  <si>
    <t xml:space="preserve">Free managed certs on Load Balancer</t>
  </si>
  <si>
    <t xml:space="preserve">FREE — DO Load Balancer includes Let's Encrypt SSL with auto-renewal. docs.digitalocean.com/products/networking/load-balancers</t>
  </si>
  <si>
    <t xml:space="preserve">Cloudflare Pro (included)</t>
  </si>
  <si>
    <t xml:space="preserve">L3/L4/L7 DDoS mitigation</t>
  </si>
  <si>
    <t xml:space="preserve">FREE — Included in Cloudflare Pro. Layer 3/4/7 DDoS protection always-on.</t>
  </si>
  <si>
    <t xml:space="preserve">Kong OSS on Basic Droplet</t>
  </si>
  <si>
    <t xml:space="preserve">Self-hosted Kong on 1GB Basic Droplet</t>
  </si>
  <si>
    <t xml:space="preserve">Self-managed Kong OSS. Runs on $6/mo Basic Droplet (1vCPU/1GB). No licensing cost. kong.io. ⚠ Requires DevOps knowledge.</t>
  </si>
  <si>
    <t xml:space="preserve">Auth / Identity Provider</t>
  </si>
  <si>
    <t xml:space="preserve">Firebase Auth (Google)</t>
  </si>
  <si>
    <t xml:space="preserve">Up to 50K MAU free</t>
  </si>
  <si>
    <t xml:space="preserve">FREE — Firebase Auth free up to 50K MAU. 5K DAU well within limit. firebase.google.com/pricing. ⚠ Requires separate HIPAA BAA with Google.</t>
  </si>
  <si>
    <t xml:space="preserve">DO General Purpose Droplets</t>
  </si>
  <si>
    <t xml:space="preserve">2x 4vCPU/8GB General Purpose</t>
  </si>
  <si>
    <t xml:space="preserve">$48/mo each x2=$96/mo. Includes 5TB bandwidth each. Dedicated CPU. 99.99% SLA. digitalocean.com/pricing. Source: costbench.com March 2026.</t>
  </si>
  <si>
    <t xml:space="preserve">DO Container Registry</t>
  </si>
  <si>
    <t xml:space="preserve">Basic tier: 1 private repo</t>
  </si>
  <si>
    <t xml:space="preserve">$5/mo for Starter plan (1 repo, 1 collaborator). docs.digitalocean.com/products/container-registry/details/pricing</t>
  </si>
  <si>
    <t xml:space="preserve">DO App Platform autoscale</t>
  </si>
  <si>
    <t xml:space="preserve">Autoscale on dedicated CPU plans</t>
  </si>
  <si>
    <t xml:space="preserve">FREE — Autoscaling included on dedicated CPU plans. No extra charge for scaling events.</t>
  </si>
  <si>
    <t xml:space="preserve">DO Managed MySQL</t>
  </si>
  <si>
    <t xml:space="preserve">4GB RAM + 1 standby node</t>
  </si>
  <si>
    <t xml:space="preserve">Managed MySQL 4GB RAM cluster with standby: $80-120/mo depending on storage. Automatic failover, backups. digitalocean.com/pricing/managed-databases. Source: hamsterstack.com March 2026.</t>
  </si>
  <si>
    <t xml:space="preserve">DO Automated Backup</t>
  </si>
  <si>
    <t xml:space="preserve">Automated backups included</t>
  </si>
  <si>
    <t xml:space="preserve">20-30% of DB node cost for backup. ~$80 node x 20% = $16/mo. costbench.com DigitalOcean pricing April 2026.</t>
  </si>
  <si>
    <t xml:space="preserve">DO Managed DB encryption</t>
  </si>
  <si>
    <t xml:space="preserve">AES-256 by default</t>
  </si>
  <si>
    <t xml:space="preserve">FREE — Included. DO Managed Databases encrypt at rest with AES-256. docs.digitalocean.com/products/databases/mysql</t>
  </si>
  <si>
    <t xml:space="preserve">DO Regional Load Balancer</t>
  </si>
  <si>
    <t xml:space="preserve">1 node, integrated SSL</t>
  </si>
  <si>
    <t xml:space="preserve">$12/mo per node. Includes Let's Encrypt SSL, HTTP/3, integrated health checks. docs.digitalocean.com/products/networking/load-balancers/details/pricing</t>
  </si>
  <si>
    <t xml:space="preserve">DO VPC (included)</t>
  </si>
  <si>
    <t xml:space="preserve">Private networking between Droplets</t>
  </si>
  <si>
    <t xml:space="preserve">FREE — DO VPC provides private networking. No separate NAT Gateway concept. Outbound included in Droplet bandwidth pool.</t>
  </si>
  <si>
    <t xml:space="preserve">DO Public IP</t>
  </si>
  <si>
    <t xml:space="preserve">Included with all Droplets</t>
  </si>
  <si>
    <t xml:space="preserve">FREE — Public IPv4 included with every Droplet. No hourly charge. (Unlike AWS $0.005/hr per IPv4).</t>
  </si>
  <si>
    <t xml:space="preserve">Private VCN/VPC</t>
  </si>
  <si>
    <t xml:space="preserve">DO VPC</t>
  </si>
  <si>
    <t xml:space="preserve">Private network between all Droplets</t>
  </si>
  <si>
    <t xml:space="preserve">FREE — DO VPC private networking between Droplets in same region. No peering charge.</t>
  </si>
  <si>
    <t xml:space="preserve">N/A — Single DC</t>
  </si>
  <si>
    <t xml:space="preserve">DO uses single datacenters, not multi-AZ</t>
  </si>
  <si>
    <t xml:space="preserve">FREE / N/A — DigitalOcean doesn't have multi-AZ within a region. All Droplets in same datacenter. No cross-zone charge.</t>
  </si>
  <si>
    <t xml:space="preserve">DO Bandwidth Pool</t>
  </si>
  <si>
    <t xml:space="preserve">5TB included per Droplet</t>
  </si>
  <si>
    <t xml:space="preserve">5TB/mo included per Droplet. 2 Droplets = 10TB pooled. 5K DAU uses ~750GB. Overage: $0.01/GiB. digitalocean.com/pricing. Far cheaper than AWS ($0.09/GB) or Azure ($0.087/GB).</t>
  </si>
  <si>
    <t xml:space="preserve">CDN/Spaces</t>
  </si>
  <si>
    <t xml:space="preserve">DO Spaces</t>
  </si>
  <si>
    <t xml:space="preserve">250GB object storage + CDN</t>
  </si>
  <si>
    <t xml:space="preserve">$5/mo for 250GB + 1TB CDN transfer. Additional: $0.02/GB storage, $0.01/GB transfer. digitalocean.com/pricing/spaces</t>
  </si>
  <si>
    <t xml:space="preserve">DO DNS</t>
  </si>
  <si>
    <t xml:space="preserve">Free for all accounts</t>
  </si>
  <si>
    <t xml:space="preserve">FREE — DNS management free for all DigitalOcean accounts. digitalocean.com/products/networking</t>
  </si>
  <si>
    <t xml:space="preserve">HashiCorp Vault OSS</t>
  </si>
  <si>
    <t xml:space="preserve">Self-hosted on $6 Basic Droplet</t>
  </si>
  <si>
    <t xml:space="preserve">Vault OSS is free. Runs on $6/mo Basic Droplet. ⚠ Self-managed: requires DevOps knowledge. vaultproject.io. ⚠ Requires additional HIPAA hardening config.</t>
  </si>
  <si>
    <t xml:space="preserve">DO Monitoring + Logtail</t>
  </si>
  <si>
    <t xml:space="preserve">DO built-in + Logtail $7/mo</t>
  </si>
  <si>
    <t xml:space="preserve">DO built-in monitoring FREE. Logtail/BetterStack log aggregation: $7/mo (25GB/day). For heavier HIPAA logging: Papertrail $10-20/mo. logtail.com</t>
  </si>
  <si>
    <t xml:space="preserve">DO Spaces Archive</t>
  </si>
  <si>
    <t xml:space="preserve">Cold storage in Spaces</t>
  </si>
  <si>
    <t xml:space="preserve">$0.02/GB for Spaces storage. 3yr archive of ~100GB logs = ~$2/mo ongoing. digitalocean.com/pricing/spaces</t>
  </si>
  <si>
    <t xml:space="preserve">DO HIPAA Program</t>
  </si>
  <si>
    <t xml:space="preserve">BAA via support ticket</t>
  </si>
  <si>
    <t xml:space="preserve">FREE — Available by creating a support ticket with DigitalOcean. digitalocean.com compliance. Covers Droplets and Managed Databases. ⚠ Third-party services (Cloudflare, Firebase) need own BAAs.</t>
  </si>
  <si>
    <t xml:space="preserve">APM</t>
  </si>
  <si>
    <t xml:space="preserve">DO Monitoring + Datadog lite</t>
  </si>
  <si>
    <t xml:space="preserve">DO free + optional APM tool</t>
  </si>
  <si>
    <t xml:space="preserve">DO built-in monitoring FREE. For APM tracing: Datadog APM from $0 (free tier) to $31/host/mo. DO monitoring sufficient for basic HIPAA requirements.</t>
  </si>
  <si>
    <t xml:space="preserve">DO Monitoring</t>
  </si>
  <si>
    <t xml:space="preserve">CPU, memory, disk, bandwidth</t>
  </si>
  <si>
    <t xml:space="preserve">FREE — DO built-in monitoring with alerts. digitalocean.com/products/monitoring</t>
  </si>
  <si>
    <t xml:space="preserve">Uptime Checks</t>
  </si>
  <si>
    <t xml:space="preserve">DO Load Balancer health checks</t>
  </si>
  <si>
    <t xml:space="preserve">Health probes on all backends</t>
  </si>
  <si>
    <t xml:space="preserve">FREE — Load Balancer includes health checks for all backend Droplets.</t>
  </si>
  <si>
    <t xml:space="preserve">DO Basic / Premium</t>
  </si>
  <si>
    <t xml:space="preserve">Basic free; Premium custom</t>
  </si>
  <si>
    <t xml:space="preserve">Basic: free (docs only). Premium support: custom pricing — contact sales. No formal SLA tier like AWS Business ($100/mo). ⚠ For HIPAA production, consider premium support.</t>
  </si>
  <si>
    <t xml:space="preserve">DIGITALOCEAN TOTAL (ALL COMPONENTS)</t>
  </si>
  <si>
    <t xml:space="preserve">Sources: digitalocean.com/pricing, hamsterstack.com, costbench.com March 2026, docs.digitalocean.com</t>
  </si>
  <si>
    <t xml:space="preserve">HIPAA Service Coverage Matrix — Every Required Capability vs Provider</t>
  </si>
  <si>
    <t xml:space="preserve">HIPAA Requirement</t>
  </si>
  <si>
    <t xml:space="preserve">Current Azure</t>
  </si>
  <si>
    <t xml:space="preserve">Optimised Azure</t>
  </si>
  <si>
    <t xml:space="preserve">OCI</t>
  </si>
  <si>
    <t xml:space="preserve">DigitalOcean</t>
  </si>
  <si>
    <t xml:space="preserve">AWS</t>
  </si>
  <si>
    <t xml:space="preserve">GCP</t>
  </si>
  <si>
    <t xml:space="preserve">BAA Agreement Available</t>
  </si>
  <si>
    <t xml:space="preserve">✓ Yes</t>
  </si>
  <si>
    <t xml:space="preserve">All major providers. DO via support ticket.</t>
  </si>
  <si>
    <t xml:space="preserve">WAF (OWASP Top 10)</t>
  </si>
  <si>
    <t xml:space="preserve">✓ AGW WAF_v2</t>
  </si>
  <si>
    <t xml:space="preserve">✓ Front Door</t>
  </si>
  <si>
    <t xml:space="preserve">✓ OCI WAF</t>
  </si>
  <si>
    <t xml:space="preserve">✓ Cloudflare Pro</t>
  </si>
  <si>
    <t xml:space="preserve">✓ CloudFront WAF</t>
  </si>
  <si>
    <t xml:space="preserve">✓ Cloud Armor</t>
  </si>
  <si>
    <t xml:space="preserve">All covered. Cloudflare Pro cheapest at $20/mo flat.</t>
  </si>
  <si>
    <t xml:space="preserve">✓ Basic free</t>
  </si>
  <si>
    <t xml:space="preserve">✓ FD Premium</t>
  </si>
  <si>
    <t xml:space="preserve">✓ Free built-in</t>
  </si>
  <si>
    <t xml:space="preserve">✓ CF Pro</t>
  </si>
  <si>
    <t xml:space="preserve">✓ Shield Std</t>
  </si>
  <si>
    <t xml:space="preserve">OCI and GCP include free DDoS at network layer.</t>
  </si>
  <si>
    <t xml:space="preserve">Encryption at Rest (PHI)</t>
  </si>
  <si>
    <t xml:space="preserve">✓ MySQL default</t>
  </si>
  <si>
    <t xml:space="preserve">✓ Same</t>
  </si>
  <si>
    <t xml:space="preserve">✓ Managed DB</t>
  </si>
  <si>
    <t xml:space="preserve">✓ RDS KMS</t>
  </si>
  <si>
    <t xml:space="preserve">✓ Cloud SQL</t>
  </si>
  <si>
    <t xml:space="preserve">All managed databases encrypt at rest by default.</t>
  </si>
  <si>
    <t xml:space="preserve">Encryption in Transit (TLS)</t>
  </si>
  <si>
    <t xml:space="preserve">✓ TLS 1.2+</t>
  </si>
  <si>
    <t xml:space="preserve">All enforce TLS minimum 1.2.</t>
  </si>
  <si>
    <t xml:space="preserve">Audit Logging (PHI Access)</t>
  </si>
  <si>
    <t xml:space="preserve">✓ Log Analytics</t>
  </si>
  <si>
    <t xml:space="preserve">✓ Capped Logs</t>
  </si>
  <si>
    <t xml:space="preserve">✓ Logging Analytics</t>
  </si>
  <si>
    <t xml:space="preserve">⚠ Logtail/Papertrail</t>
  </si>
  <si>
    <t xml:space="preserve">✓ CloudWatch</t>
  </si>
  <si>
    <t xml:space="preserve">✓ Cloud Logging</t>
  </si>
  <si>
    <t xml:space="preserve">DO requires third-party log tool (Logtail/Papertrail) — extra cost.</t>
  </si>
  <si>
    <t xml:space="preserve">Log Retention 3 Years</t>
  </si>
  <si>
    <t xml:space="preserve">✓ Blob Archive</t>
  </si>
  <si>
    <t xml:space="preserve">✓ OCI Archive</t>
  </si>
  <si>
    <t xml:space="preserve">✓ Spaces</t>
  </si>
  <si>
    <t xml:space="preserve">✓ S3 Glacier</t>
  </si>
  <si>
    <t xml:space="preserve">✓ Cloud Archive</t>
  </si>
  <si>
    <t xml:space="preserve">All providers have cheap archive tiers ($0.001-0.02/GB/mo).</t>
  </si>
  <si>
    <t xml:space="preserve">Access Control / IAM</t>
  </si>
  <si>
    <t xml:space="preserve">✓ Azure AD + RBAC</t>
  </si>
  <si>
    <t xml:space="preserve">✓ OCI IAM + RBAC</t>
  </si>
  <si>
    <t xml:space="preserve">⚠ Basic via Droplet</t>
  </si>
  <si>
    <t xml:space="preserve">✓ AWS IAM</t>
  </si>
  <si>
    <t xml:space="preserve">✓ Cloud IAM</t>
  </si>
  <si>
    <t xml:space="preserve">DO IAM is less granular than hyperscalers for compliance audits.</t>
  </si>
  <si>
    <t xml:space="preserve">Network Isolation (Private Subnet)</t>
  </si>
  <si>
    <t xml:space="preserve">✓ VNet + Subnets</t>
  </si>
  <si>
    <t xml:space="preserve">✓ VCN + Subnets</t>
  </si>
  <si>
    <t xml:space="preserve">✓ DO VPC</t>
  </si>
  <si>
    <t xml:space="preserve">✓ VPC + Subnets</t>
  </si>
  <si>
    <t xml:space="preserve">All support private networking. DO VPC is simpler but sufficient.</t>
  </si>
  <si>
    <t xml:space="preserve">Multi-AZ High Availability</t>
  </si>
  <si>
    <t xml:space="preserve">✓ Zone-redundant</t>
  </si>
  <si>
    <t xml:space="preserve">✓ Multi-AD</t>
  </si>
  <si>
    <t xml:space="preserve">⚠ Single DC</t>
  </si>
  <si>
    <t xml:space="preserve">✓ Multi-AZ</t>
  </si>
  <si>
    <t xml:space="preserve">✓ Multi-Zone</t>
  </si>
  <si>
    <t xml:space="preserve">DO does not have multi-AZ within a region. HA is single-DC only.</t>
  </si>
  <si>
    <t xml:space="preserve">Automated DB Backups + PITR</t>
  </si>
  <si>
    <t xml:space="preserve">✓ Included</t>
  </si>
  <si>
    <t xml:space="preserve">All managed databases include automated backups with PITR.</t>
  </si>
  <si>
    <t xml:space="preserve">Secrets / Key Management</t>
  </si>
  <si>
    <t xml:space="preserve">✓ Key Vault</t>
  </si>
  <si>
    <t xml:space="preserve">✓ OCI Vault</t>
  </si>
  <si>
    <t xml:space="preserve">⚠ Self-hosted Vault</t>
  </si>
  <si>
    <t xml:space="preserve">✓ KMS</t>
  </si>
  <si>
    <t xml:space="preserve">✓ Cloud KMS</t>
  </si>
  <si>
    <t xml:space="preserve">DO requires self-hosted HashiCorp Vault — operational overhead.</t>
  </si>
  <si>
    <t xml:space="preserve">API Rate Limiting + Throttling</t>
  </si>
  <si>
    <t xml:space="preserve">✓ APIM</t>
  </si>
  <si>
    <t xml:space="preserve">✓ APIM Consump</t>
  </si>
  <si>
    <t xml:space="preserve">✓ OCI API GW</t>
  </si>
  <si>
    <t xml:space="preserve">⚠ Kong OSS (DIY)</t>
  </si>
  <si>
    <t xml:space="preserve">✓ Cloud Endpoints</t>
  </si>
  <si>
    <t xml:space="preserve">DO requires self-managed Kong — not a managed service.</t>
  </si>
  <si>
    <t xml:space="preserve">HTTPS / TLS Certificate Management</t>
  </si>
  <si>
    <t xml:space="preserve">✓ Managed certs</t>
  </si>
  <si>
    <t xml:space="preserve">✓ Let's Encrypt</t>
  </si>
  <si>
    <t xml:space="preserve">✓ ACM free</t>
  </si>
  <si>
    <t xml:space="preserve">✓ Google-managed</t>
  </si>
  <si>
    <t xml:space="preserve">All providers offer free managed TLS certificate renewal.</t>
  </si>
  <si>
    <t xml:space="preserve">IP Whitelisting / Firewall Rules</t>
  </si>
  <si>
    <t xml:space="preserve">✓ NSG + WAF</t>
  </si>
  <si>
    <t xml:space="preserve">✓ NSG + FD</t>
  </si>
  <si>
    <t xml:space="preserve">✓ Security Lists</t>
  </si>
  <si>
    <t xml:space="preserve">✓ Cloud Firewalls</t>
  </si>
  <si>
    <t xml:space="preserve">✓ Security Groups</t>
  </si>
  <si>
    <t xml:space="preserve">✓ VPC Firewall</t>
  </si>
  <si>
    <t xml:space="preserve">All providers offer network-level access control.</t>
  </si>
  <si>
    <t xml:space="preserve">Vulnerability Scanning</t>
  </si>
  <si>
    <t xml:space="preserve">✓ Defender for Cloud</t>
  </si>
  <si>
    <t xml:space="preserve">⚠ Optional</t>
  </si>
  <si>
    <t xml:space="preserve">⚠ OCI VSS add-on</t>
  </si>
  <si>
    <t xml:space="preserve">⚠ Third-party</t>
  </si>
  <si>
    <t xml:space="preserve">✓ Inspector</t>
  </si>
  <si>
    <t xml:space="preserve">✓ Security Command</t>
  </si>
  <si>
    <t xml:space="preserve">Azure Defender and AWS Inspector most mature. Others require add-ons.</t>
  </si>
  <si>
    <t xml:space="preserve">SOC 2 Type II Certification</t>
  </si>
  <si>
    <t xml:space="preserve">All major providers hold SOC 2 Type II certifications.</t>
  </si>
  <si>
    <t xml:space="preserve">Data Residency Control</t>
  </si>
  <si>
    <t xml:space="preserve">✓ Region selection</t>
  </si>
  <si>
    <t xml:space="preserve">✓ 48+ regions</t>
  </si>
  <si>
    <t xml:space="preserve">✓ 14 datacenters</t>
  </si>
  <si>
    <t xml:space="preserve">✓ 32+ regions</t>
  </si>
  <si>
    <t xml:space="preserve">✓ 40+ regions</t>
  </si>
  <si>
    <t xml:space="preserve">All allow region selection. DO has fewer locations but US/EU covered.</t>
  </si>
  <si>
    <t xml:space="preserve">Cost Scenarios — What Does Each Provider Cost at Different Traffic Levels?</t>
  </si>
  <si>
    <t xml:space="preserve">Scenario</t>
  </si>
  <si>
    <t xml:space="preserve">Traffic</t>
  </si>
  <si>
    <t xml:space="preserve">Dev/Staging</t>
  </si>
  <si>
    <t xml:space="preserve">500 DAU</t>
  </si>
  <si>
    <t xml:space="preserve">$141–229</t>
  </si>
  <si>
    <t xml:space="preserve">$80–120</t>
  </si>
  <si>
    <t xml:space="preserve">$70–110</t>
  </si>
  <si>
    <t xml:space="preserve">$180–250</t>
  </si>
  <si>
    <t xml:space="preserve">$150–200</t>
  </si>
  <si>
    <t xml:space="preserve">Production</t>
  </si>
  <si>
    <t xml:space="preserve">5K DAU</t>
  </si>
  <si>
    <t xml:space="preserve">$1,780–3,120</t>
  </si>
  <si>
    <t xml:space="preserve">$753–1,073</t>
  </si>
  <si>
    <t xml:space="preserve">$206–440</t>
  </si>
  <si>
    <t xml:space="preserve">$248–381</t>
  </si>
  <si>
    <t xml:space="preserve">$380–680</t>
  </si>
  <si>
    <t xml:space="preserve">$350–650</t>
  </si>
  <si>
    <t xml:space="preserve">Growth</t>
  </si>
  <si>
    <t xml:space="preserve">25K DAU</t>
  </si>
  <si>
    <t xml:space="preserve">$2,500–4,500</t>
  </si>
  <si>
    <t xml:space="preserve">$1,100–1,800</t>
  </si>
  <si>
    <t xml:space="preserve">$400–700</t>
  </si>
  <si>
    <t xml:space="preserve">$450–750</t>
  </si>
  <si>
    <t xml:space="preserve">$700–1,200</t>
  </si>
  <si>
    <t xml:space="preserve">$650–1,100</t>
  </si>
  <si>
    <t xml:space="preserve">Scale</t>
  </si>
  <si>
    <t xml:space="preserve">100K DAU</t>
  </si>
  <si>
    <t xml:space="preserve">$5,000–9,000</t>
  </si>
  <si>
    <t xml:space="preserve">$2,500–4,000</t>
  </si>
  <si>
    <t xml:space="preserve">$900–1,600</t>
  </si>
  <si>
    <t xml:space="preserve">$1,100–2,000</t>
  </si>
  <si>
    <t xml:space="preserve">$1,800–3,200</t>
  </si>
  <si>
    <t xml:space="preserve">$1,600–3,000</t>
  </si>
  <si>
    <t xml:space="preserve">Estimates based on proportional scaling. OCI advantage grows with traffic due to 10TB free egress. Azure APIM fixed cost remains ~$700/mo regardless of traffic — most expensive at low DAU. DO bandwidth included per Droplet scales better than per-GB egress pricing at higher DAU. AWS Fargate scales well for variable workloads but NAT Gateway fixed cost ($47/mo) is always present.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</si>
</sst>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323130"/>
      <name val="Arial"/>
      <family val="0"/>
      <charset val="1"/>
    </font>
    <font>
      <b val="true"/>
      <sz val="13"/>
      <color rgb="FFC50F1F"/>
      <name val="Arial"/>
      <family val="0"/>
      <charset val="1"/>
    </font>
    <font>
      <b val="true"/>
      <sz val="13"/>
      <color rgb="FF107C10"/>
      <name val="Arial"/>
      <family val="0"/>
      <charset val="1"/>
    </font>
    <font>
      <b val="true"/>
      <sz val="13"/>
      <color rgb="FF4B006E"/>
      <name val="Arial"/>
      <family val="0"/>
      <charset val="1"/>
    </font>
    <font>
      <b val="true"/>
      <sz val="13"/>
      <color rgb="FF0069FF"/>
      <name val="Arial"/>
      <family val="0"/>
      <charset val="1"/>
    </font>
    <font>
      <b val="true"/>
      <sz val="13"/>
      <color rgb="FFE07000"/>
      <name val="Arial"/>
      <family val="0"/>
      <charset val="1"/>
    </font>
    <font>
      <b val="true"/>
      <sz val="13"/>
      <color rgb="FF4285F4"/>
      <name val="Arial"/>
      <family val="0"/>
      <charset val="1"/>
    </font>
    <font>
      <b val="true"/>
      <sz val="8"/>
      <color rgb="FFC50F1F"/>
      <name val="Arial"/>
      <family val="0"/>
      <charset val="1"/>
    </font>
    <font>
      <b val="true"/>
      <sz val="8"/>
      <color rgb="FF107C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32313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323130"/>
      <name val="Arial"/>
      <family val="0"/>
      <charset val="1"/>
    </font>
    <font>
      <sz val="9"/>
      <color rgb="FF323130"/>
      <name val="Arial"/>
      <family val="0"/>
      <charset val="1"/>
    </font>
    <font>
      <b val="true"/>
      <sz val="9"/>
      <color rgb="FFC50F1F"/>
      <name val="Arial"/>
      <family val="0"/>
      <charset val="1"/>
    </font>
    <font>
      <b val="true"/>
      <sz val="9"/>
      <color rgb="FF4B006E"/>
      <name val="Arial"/>
      <family val="0"/>
      <charset val="1"/>
    </font>
    <font>
      <b val="true"/>
      <sz val="9"/>
      <color rgb="FF0069FF"/>
      <name val="Arial"/>
      <family val="0"/>
      <charset val="1"/>
    </font>
    <font>
      <b val="true"/>
      <sz val="9"/>
      <color rgb="FFE07000"/>
      <name val="Arial"/>
      <family val="0"/>
      <charset val="1"/>
    </font>
    <font>
      <b val="true"/>
      <sz val="9"/>
      <color rgb="FF4285F4"/>
      <name val="Arial"/>
      <family val="0"/>
      <charset val="1"/>
    </font>
    <font>
      <b val="true"/>
      <sz val="9"/>
      <color rgb="FF107C10"/>
      <name val="Arial"/>
      <family val="0"/>
      <charset val="1"/>
    </font>
    <font>
      <sz val="9"/>
      <color rgb="FF107C10"/>
      <name val="Arial"/>
      <family val="0"/>
      <charset val="1"/>
    </font>
    <font>
      <b val="true"/>
      <sz val="8"/>
      <color rgb="FFCA5010"/>
      <name val="Arial"/>
      <family val="0"/>
      <charset val="1"/>
    </font>
    <font>
      <b val="true"/>
      <sz val="9"/>
      <color rgb="FFCA5010"/>
      <name val="Arial"/>
      <family val="0"/>
      <charset val="1"/>
    </font>
    <font>
      <i val="true"/>
      <sz val="7"/>
      <color rgb="FFD6EA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7"/>
      <color rgb="FF605E5C"/>
      <name val="Arial"/>
      <family val="0"/>
      <charset val="1"/>
    </font>
    <font>
      <sz val="8"/>
      <color rgb="FFC50F1F"/>
      <name val="Arial"/>
      <family val="0"/>
      <charset val="1"/>
    </font>
    <font>
      <sz val="8"/>
      <color rgb="FFCA5010"/>
      <name val="Arial"/>
      <family val="0"/>
      <charset val="1"/>
    </font>
    <font>
      <i val="true"/>
      <sz val="8"/>
      <color rgb="FF605E5C"/>
      <name val="Arial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003F7A"/>
        <bgColor rgb="FF333399"/>
      </patternFill>
    </fill>
    <fill>
      <patternFill patternType="solid">
        <fgColor rgb="FF0078D4"/>
        <bgColor rgb="FF0069FF"/>
      </patternFill>
    </fill>
    <fill>
      <patternFill patternType="solid">
        <fgColor rgb="FFC50F1F"/>
        <bgColor rgb="FF800000"/>
      </patternFill>
    </fill>
    <fill>
      <patternFill patternType="solid">
        <fgColor rgb="FF107C10"/>
        <bgColor rgb="FF339966"/>
      </patternFill>
    </fill>
    <fill>
      <patternFill patternType="solid">
        <fgColor rgb="FF4B006E"/>
        <bgColor rgb="FF800080"/>
      </patternFill>
    </fill>
    <fill>
      <patternFill patternType="solid">
        <fgColor rgb="FF0069FF"/>
        <bgColor rgb="FF0078D4"/>
      </patternFill>
    </fill>
    <fill>
      <patternFill patternType="solid">
        <fgColor rgb="FFE07000"/>
        <bgColor rgb="FFCA5010"/>
      </patternFill>
    </fill>
    <fill>
      <patternFill patternType="solid">
        <fgColor rgb="FF4285F4"/>
        <bgColor rgb="FF1565C0"/>
      </patternFill>
    </fill>
    <fill>
      <patternFill patternType="solid">
        <fgColor rgb="FFFCE4E4"/>
        <bgColor rgb="FFFCE4EC"/>
      </patternFill>
    </fill>
    <fill>
      <patternFill patternType="solid">
        <fgColor rgb="FFDFF6DD"/>
        <bgColor rgb="FFE0F2F1"/>
      </patternFill>
    </fill>
    <fill>
      <patternFill patternType="solid">
        <fgColor rgb="FFEDE7F6"/>
        <bgColor rgb="FFE8EAF6"/>
      </patternFill>
    </fill>
    <fill>
      <patternFill patternType="solid">
        <fgColor rgb="FFE3F2FF"/>
        <bgColor rgb="FFE8F0FE"/>
      </patternFill>
    </fill>
    <fill>
      <patternFill patternType="solid">
        <fgColor rgb="FFFFF3E0"/>
        <bgColor rgb="FFFFF8E1"/>
      </patternFill>
    </fill>
    <fill>
      <patternFill patternType="solid">
        <fgColor rgb="FFE8F0FE"/>
        <bgColor rgb="FFE8F4FD"/>
      </patternFill>
    </fill>
    <fill>
      <patternFill patternType="solid">
        <fgColor rgb="FFF3F2F1"/>
        <bgColor rgb="FFE8F4FD"/>
      </patternFill>
    </fill>
    <fill>
      <patternFill patternType="solid">
        <fgColor rgb="FFFFFFFF"/>
        <bgColor rgb="FFFAFAFA"/>
      </patternFill>
    </fill>
    <fill>
      <patternFill patternType="solid">
        <fgColor rgb="FF323130"/>
        <bgColor rgb="FF333300"/>
      </patternFill>
    </fill>
    <fill>
      <patternFill patternType="solid">
        <fgColor rgb="FFE8F4FD"/>
        <bgColor rgb="FFE8F0FE"/>
      </patternFill>
    </fill>
    <fill>
      <patternFill patternType="solid">
        <fgColor rgb="FFD6EAFF"/>
        <bgColor rgb="FFE3F2FF"/>
      </patternFill>
    </fill>
    <fill>
      <patternFill patternType="solid">
        <fgColor rgb="FFFFF4CE"/>
        <bgColor rgb="FFFFF3E0"/>
      </patternFill>
    </fill>
    <fill>
      <patternFill patternType="solid">
        <fgColor rgb="FFF0FFF0"/>
        <bgColor rgb="FFFAFAFA"/>
      </patternFill>
    </fill>
    <fill>
      <patternFill patternType="solid">
        <fgColor rgb="FFFFF8E1"/>
        <bgColor rgb="FFFFF3E0"/>
      </patternFill>
    </fill>
    <fill>
      <patternFill patternType="solid">
        <fgColor rgb="FFFCE4EC"/>
        <bgColor rgb="FFFCE4E4"/>
      </patternFill>
    </fill>
    <fill>
      <patternFill patternType="solid">
        <fgColor rgb="FFE8EAF6"/>
        <bgColor rgb="FFEDE7F6"/>
      </patternFill>
    </fill>
    <fill>
      <patternFill patternType="solid">
        <fgColor rgb="FFF3E5F5"/>
        <bgColor rgb="FFEDE7F6"/>
      </patternFill>
    </fill>
    <fill>
      <patternFill patternType="solid">
        <fgColor rgb="FFE0F2F1"/>
        <bgColor rgb="FFE3F2FF"/>
      </patternFill>
    </fill>
    <fill>
      <patternFill patternType="solid">
        <fgColor rgb="FFFAFAFA"/>
        <bgColor rgb="FFFFFFFF"/>
      </patternFill>
    </fill>
    <fill>
      <patternFill patternType="solid">
        <fgColor rgb="FF6A1B9A"/>
        <bgColor rgb="FF800080"/>
      </patternFill>
    </fill>
    <fill>
      <patternFill patternType="solid">
        <fgColor rgb="FF1565C0"/>
        <bgColor rgb="FF0078D4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0078D4"/>
      </left>
      <right/>
      <top style="medium">
        <color rgb="FF0078D4"/>
      </top>
      <bottom style="medium">
        <color rgb="FF0078D4"/>
      </bottom>
      <diagonal/>
    </border>
    <border diagonalUp="false" diagonalDown="false">
      <left style="medium">
        <color rgb="FF0078D4"/>
      </left>
      <right style="medium">
        <color rgb="FF0078D4"/>
      </right>
      <top style="medium">
        <color rgb="FF0078D4"/>
      </top>
      <bottom style="medium">
        <color rgb="FF0078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1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1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5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6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2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2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2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2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2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2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50F1F"/>
      <rgbColor rgb="FF00FF00"/>
      <rgbColor rgb="FF0000FF"/>
      <rgbColor rgb="FFFFF3E0"/>
      <rgbColor rgb="FFFF00FF"/>
      <rgbColor rgb="FF00FFFF"/>
      <rgbColor rgb="FF800000"/>
      <rgbColor rgb="FF107C10"/>
      <rgbColor rgb="FF000080"/>
      <rgbColor rgb="FF808000"/>
      <rgbColor rgb="FF6A1B9A"/>
      <rgbColor rgb="FF0078D4"/>
      <rgbColor rgb="FFCCCCCC"/>
      <rgbColor rgb="FF808080"/>
      <rgbColor rgb="FFEDE7F6"/>
      <rgbColor rgb="FF993366"/>
      <rgbColor rgb="FFFFF4CE"/>
      <rgbColor rgb="FFE0F2F1"/>
      <rgbColor rgb="FF4B006E"/>
      <rgbColor rgb="FFE8F4FD"/>
      <rgbColor rgb="FF1565C0"/>
      <rgbColor rgb="FFD6EAFF"/>
      <rgbColor rgb="FF000080"/>
      <rgbColor rgb="FFFF00FF"/>
      <rgbColor rgb="FFF0FFF0"/>
      <rgbColor rgb="FF00FFFF"/>
      <rgbColor rgb="FF800080"/>
      <rgbColor rgb="FF800000"/>
      <rgbColor rgb="FF0069FF"/>
      <rgbColor rgb="FF0000FF"/>
      <rgbColor rgb="FF00CCFF"/>
      <rgbColor rgb="FFE3F2FF"/>
      <rgbColor rgb="FFDFF6DD"/>
      <rgbColor rgb="FFFFF8E1"/>
      <rgbColor rgb="FFE8EAF6"/>
      <rgbColor rgb="FFFCE4EC"/>
      <rgbColor rgb="FFF3E5F5"/>
      <rgbColor rgb="FFFCE4E4"/>
      <rgbColor rgb="FF4285F4"/>
      <rgbColor rgb="FF33CCCC"/>
      <rgbColor rgb="FFFAFAFA"/>
      <rgbColor rgb="FFF3F2F1"/>
      <rgbColor rgb="FFFF9900"/>
      <rgbColor rgb="FFE07000"/>
      <rgbColor rgb="FF605E5C"/>
      <rgbColor rgb="FFE8F0FE"/>
      <rgbColor rgb="FF003F7A"/>
      <rgbColor rgb="FF339966"/>
      <rgbColor rgb="FF003300"/>
      <rgbColor rgb="FF333300"/>
      <rgbColor rgb="FFCA5010"/>
      <rgbColor rgb="FF993366"/>
      <rgbColor rgb="FF333399"/>
      <rgbColor rgb="FF3231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4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5" t="s">
        <v>4</v>
      </c>
      <c r="F4" s="5"/>
      <c r="G4" s="6" t="s">
        <v>5</v>
      </c>
      <c r="H4" s="6"/>
      <c r="I4" s="7" t="s">
        <v>6</v>
      </c>
      <c r="J4" s="7"/>
      <c r="K4" s="8" t="s">
        <v>7</v>
      </c>
      <c r="L4" s="8"/>
    </row>
    <row r="5" customFormat="false" ht="15" hidden="false" customHeight="false" outlineLevel="0" collapsed="false">
      <c r="A5" s="9" t="s">
        <v>8</v>
      </c>
      <c r="B5" s="9" t="s">
        <v>9</v>
      </c>
      <c r="C5" s="10" t="s">
        <v>8</v>
      </c>
      <c r="D5" s="10" t="s">
        <v>9</v>
      </c>
      <c r="E5" s="11" t="s">
        <v>8</v>
      </c>
      <c r="F5" s="11" t="s">
        <v>9</v>
      </c>
      <c r="G5" s="12" t="s">
        <v>8</v>
      </c>
      <c r="H5" s="12" t="s">
        <v>9</v>
      </c>
      <c r="I5" s="13" t="s">
        <v>8</v>
      </c>
      <c r="J5" s="13" t="s">
        <v>9</v>
      </c>
      <c r="K5" s="14" t="s">
        <v>8</v>
      </c>
      <c r="L5" s="14" t="s">
        <v>9</v>
      </c>
    </row>
    <row r="6" customFormat="false" ht="27.75" hidden="false" customHeight="true" outlineLevel="0" collapsed="false">
      <c r="A6" s="15" t="s">
        <v>10</v>
      </c>
      <c r="B6" s="15" t="s">
        <v>11</v>
      </c>
      <c r="C6" s="16" t="s">
        <v>12</v>
      </c>
      <c r="D6" s="16" t="s">
        <v>13</v>
      </c>
      <c r="E6" s="17" t="s">
        <v>14</v>
      </c>
      <c r="F6" s="17" t="s">
        <v>15</v>
      </c>
      <c r="G6" s="18" t="s">
        <v>16</v>
      </c>
      <c r="H6" s="18" t="s">
        <v>17</v>
      </c>
      <c r="I6" s="19" t="s">
        <v>18</v>
      </c>
      <c r="J6" s="19" t="s">
        <v>19</v>
      </c>
      <c r="K6" s="20" t="s">
        <v>20</v>
      </c>
      <c r="L6" s="20" t="s">
        <v>21</v>
      </c>
    </row>
    <row r="7" customFormat="false" ht="15" hidden="false" customHeight="false" outlineLevel="0" collapsed="false">
      <c r="A7" s="21" t="s">
        <v>22</v>
      </c>
      <c r="B7" s="21"/>
      <c r="C7" s="22" t="s">
        <v>23</v>
      </c>
      <c r="D7" s="22"/>
      <c r="E7" s="23" t="s">
        <v>24</v>
      </c>
      <c r="F7" s="23"/>
      <c r="G7" s="24" t="s">
        <v>25</v>
      </c>
      <c r="H7" s="24"/>
      <c r="I7" s="25" t="s">
        <v>26</v>
      </c>
      <c r="J7" s="25"/>
      <c r="K7" s="26" t="s">
        <v>27</v>
      </c>
      <c r="L7" s="26"/>
    </row>
    <row r="10" customFormat="false" ht="15" hidden="false" customHeight="false" outlineLevel="0" collapsed="false">
      <c r="A10" s="27" t="s">
        <v>28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customFormat="false" ht="18" hidden="false" customHeight="true" outlineLevel="0" collapsed="false">
      <c r="A11" s="28" t="s">
        <v>29</v>
      </c>
      <c r="B11" s="29" t="s">
        <v>30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</row>
    <row r="12" customFormat="false" ht="18" hidden="false" customHeight="true" outlineLevel="0" collapsed="false">
      <c r="A12" s="28" t="s">
        <v>31</v>
      </c>
      <c r="B12" s="30" t="s">
        <v>32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</row>
    <row r="13" customFormat="false" ht="18" hidden="false" customHeight="true" outlineLevel="0" collapsed="false">
      <c r="A13" s="28" t="s">
        <v>33</v>
      </c>
      <c r="B13" s="29" t="s">
        <v>34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</row>
    <row r="14" customFormat="false" ht="18" hidden="false" customHeight="true" outlineLevel="0" collapsed="false">
      <c r="A14" s="28" t="s">
        <v>35</v>
      </c>
      <c r="B14" s="30" t="s">
        <v>36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</row>
    <row r="15" customFormat="false" ht="18" hidden="false" customHeight="true" outlineLevel="0" collapsed="false">
      <c r="A15" s="28" t="s">
        <v>37</v>
      </c>
      <c r="B15" s="29" t="s">
        <v>38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</row>
    <row r="16" customFormat="false" ht="18" hidden="false" customHeight="true" outlineLevel="0" collapsed="false">
      <c r="A16" s="28" t="s">
        <v>39</v>
      </c>
      <c r="B16" s="30" t="s">
        <v>40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</row>
    <row r="17" customFormat="false" ht="18" hidden="false" customHeight="true" outlineLevel="0" collapsed="false">
      <c r="A17" s="28" t="s">
        <v>41</v>
      </c>
      <c r="B17" s="29" t="s">
        <v>42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</row>
    <row r="18" customFormat="false" ht="18" hidden="false" customHeight="true" outlineLevel="0" collapsed="false">
      <c r="A18" s="28" t="s">
        <v>43</v>
      </c>
      <c r="B18" s="30" t="s">
        <v>44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</row>
  </sheetData>
  <mergeCells count="23">
    <mergeCell ref="A1:L1"/>
    <mergeCell ref="A2:L2"/>
    <mergeCell ref="A4:B4"/>
    <mergeCell ref="C4:D4"/>
    <mergeCell ref="E4:F4"/>
    <mergeCell ref="G4:H4"/>
    <mergeCell ref="I4:J4"/>
    <mergeCell ref="K4:L4"/>
    <mergeCell ref="A7:B7"/>
    <mergeCell ref="C7:D7"/>
    <mergeCell ref="E7:F7"/>
    <mergeCell ref="G7:H7"/>
    <mergeCell ref="I7:J7"/>
    <mergeCell ref="K7:L7"/>
    <mergeCell ref="A10:L10"/>
    <mergeCell ref="B11:L11"/>
    <mergeCell ref="B12:L12"/>
    <mergeCell ref="B13:L13"/>
    <mergeCell ref="B14:L14"/>
    <mergeCell ref="B15:L15"/>
    <mergeCell ref="B16:L16"/>
    <mergeCell ref="B17:L17"/>
    <mergeCell ref="B18:L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4"/>
    <col collapsed="false" customWidth="true" hidden="false" outlineLevel="0" max="2" min="2" style="0" width="7.2"/>
    <col collapsed="false" customWidth="true" hidden="false" outlineLevel="0" max="3" min="3" style="0" width="3.61"/>
    <col collapsed="false" customWidth="true" hidden="false" outlineLevel="0" max="4" min="4" style="0" width="5.4"/>
    <col collapsed="false" customWidth="true" hidden="false" outlineLevel="0" max="5" min="5" style="0" width="10.8"/>
    <col collapsed="false" customWidth="true" hidden="false" outlineLevel="0" max="7" min="6" style="0" width="3.61"/>
    <col collapsed="false" customWidth="true" hidden="false" outlineLevel="0" max="8" min="8" style="0" width="7.2"/>
    <col collapsed="false" customWidth="true" hidden="false" outlineLevel="0" max="10" min="9" style="0" width="3.61"/>
    <col collapsed="false" customWidth="true" hidden="false" outlineLevel="0" max="11" min="11" style="0" width="7.2"/>
    <col collapsed="false" customWidth="true" hidden="false" outlineLevel="0" max="13" min="12" style="0" width="3.61"/>
    <col collapsed="false" customWidth="true" hidden="false" outlineLevel="0" max="14" min="14" style="0" width="7.2"/>
    <col collapsed="false" customWidth="true" hidden="false" outlineLevel="0" max="16" min="15" style="0" width="3.61"/>
    <col collapsed="false" customWidth="true" hidden="false" outlineLevel="0" max="17" min="17" style="0" width="7.2"/>
    <col collapsed="false" customWidth="true" hidden="false" outlineLevel="0" max="19" min="18" style="0" width="3.61"/>
    <col collapsed="false" customWidth="true" hidden="false" outlineLevel="0" max="20" min="20" style="0" width="7.2"/>
    <col collapsed="false" customWidth="true" hidden="false" outlineLevel="0" max="22" min="21" style="0" width="3.61"/>
    <col collapsed="false" customWidth="true" hidden="false" outlineLevel="0" max="23" min="23" style="0" width="7.2"/>
  </cols>
  <sheetData>
    <row r="1" customFormat="false" ht="27.75" hidden="false" customHeight="true" outlineLevel="0" collapsed="false">
      <c r="A1" s="31" t="s">
        <v>45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</row>
    <row r="2" customFormat="false" ht="19.5" hidden="false" customHeight="true" outlineLevel="0" collapsed="false">
      <c r="F2" s="32" t="s">
        <v>2</v>
      </c>
      <c r="G2" s="32"/>
      <c r="H2" s="32"/>
      <c r="I2" s="33" t="s">
        <v>3</v>
      </c>
      <c r="J2" s="33"/>
      <c r="K2" s="33"/>
      <c r="L2" s="34" t="s">
        <v>46</v>
      </c>
      <c r="M2" s="34"/>
      <c r="N2" s="34"/>
      <c r="O2" s="35" t="s">
        <v>5</v>
      </c>
      <c r="P2" s="35"/>
      <c r="Q2" s="35"/>
      <c r="R2" s="36" t="s">
        <v>6</v>
      </c>
      <c r="S2" s="36"/>
      <c r="T2" s="36"/>
      <c r="U2" s="37" t="s">
        <v>7</v>
      </c>
      <c r="V2" s="37"/>
      <c r="W2" s="37"/>
    </row>
    <row r="3" customFormat="false" ht="39.75" hidden="false" customHeight="true" outlineLevel="0" collapsed="false">
      <c r="A3" s="38" t="s">
        <v>47</v>
      </c>
      <c r="B3" s="38" t="s">
        <v>48</v>
      </c>
      <c r="C3" s="38" t="s">
        <v>49</v>
      </c>
      <c r="D3" s="38" t="s">
        <v>50</v>
      </c>
      <c r="E3" s="38" t="s">
        <v>51</v>
      </c>
      <c r="F3" s="38" t="s">
        <v>52</v>
      </c>
      <c r="G3" s="38" t="s">
        <v>53</v>
      </c>
      <c r="H3" s="38" t="s">
        <v>54</v>
      </c>
      <c r="I3" s="38" t="s">
        <v>52</v>
      </c>
      <c r="J3" s="38" t="s">
        <v>53</v>
      </c>
      <c r="K3" s="38" t="s">
        <v>54</v>
      </c>
      <c r="L3" s="38" t="s">
        <v>52</v>
      </c>
      <c r="M3" s="38" t="s">
        <v>53</v>
      </c>
      <c r="N3" s="38" t="s">
        <v>54</v>
      </c>
      <c r="O3" s="38" t="s">
        <v>52</v>
      </c>
      <c r="P3" s="38" t="s">
        <v>53</v>
      </c>
      <c r="Q3" s="38" t="s">
        <v>54</v>
      </c>
      <c r="R3" s="38" t="s">
        <v>52</v>
      </c>
      <c r="S3" s="38" t="s">
        <v>53</v>
      </c>
      <c r="T3" s="38" t="s">
        <v>54</v>
      </c>
      <c r="U3" s="38" t="s">
        <v>52</v>
      </c>
      <c r="V3" s="38" t="s">
        <v>53</v>
      </c>
      <c r="W3" s="38" t="s">
        <v>54</v>
      </c>
    </row>
    <row r="4" customFormat="false" ht="31.5" hidden="false" customHeight="true" outlineLevel="0" collapsed="false">
      <c r="A4" s="39" t="s">
        <v>55</v>
      </c>
      <c r="B4" s="39" t="s">
        <v>56</v>
      </c>
      <c r="C4" s="40" t="s">
        <v>57</v>
      </c>
      <c r="D4" s="41" t="s">
        <v>58</v>
      </c>
      <c r="E4" s="42" t="s">
        <v>59</v>
      </c>
      <c r="F4" s="43" t="n">
        <v>340</v>
      </c>
      <c r="G4" s="43" t="n">
        <v>380</v>
      </c>
      <c r="H4" s="42" t="s">
        <v>60</v>
      </c>
      <c r="I4" s="44" t="n">
        <v>330</v>
      </c>
      <c r="J4" s="44" t="n">
        <v>330</v>
      </c>
      <c r="K4" s="45" t="s">
        <v>61</v>
      </c>
      <c r="L4" s="46" t="n">
        <v>15</v>
      </c>
      <c r="M4" s="46" t="n">
        <v>35</v>
      </c>
      <c r="N4" s="47" t="s">
        <v>62</v>
      </c>
      <c r="O4" s="48" t="n">
        <v>20</v>
      </c>
      <c r="P4" s="48" t="n">
        <v>20</v>
      </c>
      <c r="Q4" s="49" t="s">
        <v>63</v>
      </c>
      <c r="R4" s="50" t="n">
        <v>20</v>
      </c>
      <c r="S4" s="50" t="n">
        <v>60</v>
      </c>
      <c r="T4" s="51" t="s">
        <v>64</v>
      </c>
      <c r="U4" s="52" t="n">
        <v>5</v>
      </c>
      <c r="V4" s="52" t="n">
        <v>35</v>
      </c>
      <c r="W4" s="53" t="s">
        <v>65</v>
      </c>
    </row>
    <row r="5" customFormat="false" ht="31.5" hidden="false" customHeight="true" outlineLevel="0" collapsed="false">
      <c r="A5" s="39" t="s">
        <v>55</v>
      </c>
      <c r="B5" s="54" t="s">
        <v>66</v>
      </c>
      <c r="C5" s="40" t="s">
        <v>57</v>
      </c>
      <c r="D5" s="55" t="s">
        <v>67</v>
      </c>
      <c r="E5" s="42" t="s">
        <v>68</v>
      </c>
      <c r="F5" s="56" t="n">
        <v>0</v>
      </c>
      <c r="G5" s="56" t="n">
        <v>0</v>
      </c>
      <c r="H5" s="42" t="s">
        <v>69</v>
      </c>
      <c r="I5" s="57" t="n">
        <v>0</v>
      </c>
      <c r="J5" s="57" t="n">
        <v>0</v>
      </c>
      <c r="K5" s="45" t="s">
        <v>70</v>
      </c>
      <c r="L5" s="57" t="n">
        <v>0</v>
      </c>
      <c r="M5" s="57" t="n">
        <v>0</v>
      </c>
      <c r="N5" s="47" t="s">
        <v>71</v>
      </c>
      <c r="O5" s="57" t="n">
        <v>0</v>
      </c>
      <c r="P5" s="57" t="n">
        <v>0</v>
      </c>
      <c r="Q5" s="49" t="s">
        <v>72</v>
      </c>
      <c r="R5" s="57" t="n">
        <v>0</v>
      </c>
      <c r="S5" s="50" t="n">
        <v>15</v>
      </c>
      <c r="T5" s="51" t="s">
        <v>73</v>
      </c>
      <c r="U5" s="57" t="n">
        <v>0</v>
      </c>
      <c r="V5" s="52" t="n">
        <v>10</v>
      </c>
      <c r="W5" s="53" t="s">
        <v>74</v>
      </c>
    </row>
    <row r="6" customFormat="false" ht="31.5" hidden="false" customHeight="true" outlineLevel="0" collapsed="false">
      <c r="A6" s="39" t="s">
        <v>55</v>
      </c>
      <c r="B6" s="39" t="s">
        <v>75</v>
      </c>
      <c r="C6" s="40" t="s">
        <v>57</v>
      </c>
      <c r="D6" s="58" t="s">
        <v>76</v>
      </c>
      <c r="E6" s="42" t="s">
        <v>77</v>
      </c>
      <c r="F6" s="56" t="n">
        <v>0</v>
      </c>
      <c r="G6" s="44" t="n">
        <v>10</v>
      </c>
      <c r="H6" s="42" t="s">
        <v>78</v>
      </c>
      <c r="I6" s="57" t="n">
        <v>0</v>
      </c>
      <c r="J6" s="57" t="n">
        <v>0</v>
      </c>
      <c r="K6" s="45" t="s">
        <v>79</v>
      </c>
      <c r="L6" s="57" t="n">
        <v>0</v>
      </c>
      <c r="M6" s="57" t="n">
        <v>0</v>
      </c>
      <c r="N6" s="47" t="s">
        <v>80</v>
      </c>
      <c r="O6" s="57" t="n">
        <v>0</v>
      </c>
      <c r="P6" s="57" t="n">
        <v>0</v>
      </c>
      <c r="Q6" s="49" t="s">
        <v>81</v>
      </c>
      <c r="R6" s="57" t="n">
        <v>0</v>
      </c>
      <c r="S6" s="57" t="n">
        <v>0</v>
      </c>
      <c r="T6" s="51" t="s">
        <v>82</v>
      </c>
      <c r="U6" s="57" t="n">
        <v>0</v>
      </c>
      <c r="V6" s="57" t="n">
        <v>0</v>
      </c>
      <c r="W6" s="53" t="s">
        <v>83</v>
      </c>
    </row>
    <row r="7" customFormat="false" ht="31.5" hidden="false" customHeight="true" outlineLevel="0" collapsed="false">
      <c r="A7" s="39" t="s">
        <v>55</v>
      </c>
      <c r="B7" s="54" t="s">
        <v>84</v>
      </c>
      <c r="C7" s="40" t="s">
        <v>57</v>
      </c>
      <c r="D7" s="41" t="s">
        <v>58</v>
      </c>
      <c r="E7" s="42" t="s">
        <v>85</v>
      </c>
      <c r="F7" s="56" t="n">
        <v>0</v>
      </c>
      <c r="G7" s="59" t="n">
        <v>199</v>
      </c>
      <c r="H7" s="42" t="s">
        <v>86</v>
      </c>
      <c r="I7" s="57" t="n">
        <v>0</v>
      </c>
      <c r="J7" s="57" t="n">
        <v>0</v>
      </c>
      <c r="K7" s="45" t="s">
        <v>87</v>
      </c>
      <c r="L7" s="57" t="n">
        <v>0</v>
      </c>
      <c r="M7" s="57" t="n">
        <v>0</v>
      </c>
      <c r="N7" s="47" t="s">
        <v>88</v>
      </c>
      <c r="O7" s="57" t="n">
        <v>0</v>
      </c>
      <c r="P7" s="57" t="n">
        <v>0</v>
      </c>
      <c r="Q7" s="49" t="s">
        <v>89</v>
      </c>
      <c r="R7" s="57" t="n">
        <v>0</v>
      </c>
      <c r="S7" s="57" t="n">
        <v>0</v>
      </c>
      <c r="T7" s="51" t="s">
        <v>90</v>
      </c>
      <c r="U7" s="57" t="n">
        <v>0</v>
      </c>
      <c r="V7" s="57" t="n">
        <v>0</v>
      </c>
      <c r="W7" s="53" t="s">
        <v>91</v>
      </c>
    </row>
    <row r="8" customFormat="false" ht="7.5" hidden="false" customHeight="true" outlineLevel="0" collapsed="false"/>
    <row r="9" customFormat="false" ht="31.5" hidden="false" customHeight="true" outlineLevel="0" collapsed="false">
      <c r="A9" s="60" t="s">
        <v>92</v>
      </c>
      <c r="B9" s="60" t="s">
        <v>93</v>
      </c>
      <c r="C9" s="40" t="s">
        <v>57</v>
      </c>
      <c r="D9" s="58" t="s">
        <v>76</v>
      </c>
      <c r="E9" s="42" t="s">
        <v>94</v>
      </c>
      <c r="F9" s="43" t="n">
        <v>680</v>
      </c>
      <c r="G9" s="43" t="n">
        <v>720</v>
      </c>
      <c r="H9" s="42" t="s">
        <v>95</v>
      </c>
      <c r="I9" s="61" t="n">
        <v>10</v>
      </c>
      <c r="J9" s="61" t="n">
        <v>30</v>
      </c>
      <c r="K9" s="45" t="s">
        <v>96</v>
      </c>
      <c r="L9" s="46" t="n">
        <v>5</v>
      </c>
      <c r="M9" s="46" t="n">
        <v>15</v>
      </c>
      <c r="N9" s="47" t="s">
        <v>97</v>
      </c>
      <c r="O9" s="48" t="n">
        <v>6</v>
      </c>
      <c r="P9" s="48" t="n">
        <v>12</v>
      </c>
      <c r="Q9" s="49" t="s">
        <v>98</v>
      </c>
      <c r="R9" s="50" t="n">
        <v>5</v>
      </c>
      <c r="S9" s="50" t="n">
        <v>25</v>
      </c>
      <c r="T9" s="51" t="s">
        <v>99</v>
      </c>
      <c r="U9" s="57" t="n">
        <v>0</v>
      </c>
      <c r="V9" s="52" t="n">
        <v>10</v>
      </c>
      <c r="W9" s="53" t="s">
        <v>100</v>
      </c>
    </row>
    <row r="10" customFormat="false" ht="31.5" hidden="false" customHeight="true" outlineLevel="0" collapsed="false">
      <c r="A10" s="60" t="s">
        <v>92</v>
      </c>
      <c r="B10" s="60" t="s">
        <v>101</v>
      </c>
      <c r="C10" s="40" t="s">
        <v>57</v>
      </c>
      <c r="D10" s="58" t="s">
        <v>76</v>
      </c>
      <c r="E10" s="42" t="s">
        <v>102</v>
      </c>
      <c r="F10" s="56" t="n">
        <v>0</v>
      </c>
      <c r="G10" s="61" t="n">
        <v>30</v>
      </c>
      <c r="H10" s="42" t="s">
        <v>103</v>
      </c>
      <c r="I10" s="57" t="n">
        <v>0</v>
      </c>
      <c r="J10" s="61" t="n">
        <v>30</v>
      </c>
      <c r="K10" s="45" t="s">
        <v>104</v>
      </c>
      <c r="L10" s="57" t="n">
        <v>0</v>
      </c>
      <c r="M10" s="46" t="n">
        <v>20</v>
      </c>
      <c r="N10" s="47" t="s">
        <v>105</v>
      </c>
      <c r="O10" s="57" t="n">
        <v>0</v>
      </c>
      <c r="P10" s="57" t="n">
        <v>0</v>
      </c>
      <c r="Q10" s="49" t="s">
        <v>106</v>
      </c>
      <c r="R10" s="57" t="n">
        <v>0</v>
      </c>
      <c r="S10" s="50" t="n">
        <v>25</v>
      </c>
      <c r="T10" s="51" t="s">
        <v>107</v>
      </c>
      <c r="U10" s="57" t="n">
        <v>0</v>
      </c>
      <c r="V10" s="52" t="n">
        <v>10</v>
      </c>
      <c r="W10" s="53" t="s">
        <v>108</v>
      </c>
    </row>
    <row r="11" customFormat="false" ht="7.5" hidden="false" customHeight="true" outlineLevel="0" collapsed="false"/>
    <row r="12" customFormat="false" ht="31.5" hidden="false" customHeight="true" outlineLevel="0" collapsed="false">
      <c r="A12" s="62" t="s">
        <v>109</v>
      </c>
      <c r="B12" s="54" t="s">
        <v>110</v>
      </c>
      <c r="C12" s="40" t="s">
        <v>57</v>
      </c>
      <c r="D12" s="58" t="s">
        <v>76</v>
      </c>
      <c r="E12" s="42" t="s">
        <v>111</v>
      </c>
      <c r="F12" s="59" t="n">
        <v>248</v>
      </c>
      <c r="G12" s="43" t="n">
        <v>310</v>
      </c>
      <c r="H12" s="42" t="s">
        <v>112</v>
      </c>
      <c r="I12" s="63" t="n">
        <v>60</v>
      </c>
      <c r="J12" s="63" t="n">
        <v>120</v>
      </c>
      <c r="K12" s="45" t="s">
        <v>113</v>
      </c>
      <c r="L12" s="46" t="n">
        <v>80</v>
      </c>
      <c r="M12" s="46" t="n">
        <v>110</v>
      </c>
      <c r="N12" s="47" t="s">
        <v>114</v>
      </c>
      <c r="O12" s="48" t="n">
        <v>96</v>
      </c>
      <c r="P12" s="48" t="n">
        <v>96</v>
      </c>
      <c r="Q12" s="49" t="s">
        <v>115</v>
      </c>
      <c r="R12" s="50" t="n">
        <v>150</v>
      </c>
      <c r="S12" s="50" t="n">
        <v>200</v>
      </c>
      <c r="T12" s="51" t="s">
        <v>116</v>
      </c>
      <c r="U12" s="52" t="n">
        <v>50</v>
      </c>
      <c r="V12" s="52" t="n">
        <v>120</v>
      </c>
      <c r="W12" s="53" t="s">
        <v>117</v>
      </c>
    </row>
    <row r="13" customFormat="false" ht="31.5" hidden="false" customHeight="true" outlineLevel="0" collapsed="false">
      <c r="A13" s="62" t="s">
        <v>109</v>
      </c>
      <c r="B13" s="54" t="s">
        <v>118</v>
      </c>
      <c r="C13" s="40" t="s">
        <v>57</v>
      </c>
      <c r="D13" s="41" t="s">
        <v>58</v>
      </c>
      <c r="E13" s="42" t="s">
        <v>119</v>
      </c>
      <c r="F13" s="63" t="n">
        <v>5</v>
      </c>
      <c r="G13" s="63" t="n">
        <v>20</v>
      </c>
      <c r="H13" s="42" t="s">
        <v>120</v>
      </c>
      <c r="I13" s="63" t="n">
        <v>5</v>
      </c>
      <c r="J13" s="63" t="n">
        <v>20</v>
      </c>
      <c r="K13" s="45" t="s">
        <v>121</v>
      </c>
      <c r="L13" s="46" t="n">
        <v>5</v>
      </c>
      <c r="M13" s="46" t="n">
        <v>10</v>
      </c>
      <c r="N13" s="47" t="s">
        <v>122</v>
      </c>
      <c r="O13" s="57" t="n">
        <v>0</v>
      </c>
      <c r="P13" s="48" t="n">
        <v>5</v>
      </c>
      <c r="Q13" s="49" t="s">
        <v>123</v>
      </c>
      <c r="R13" s="50" t="n">
        <v>5</v>
      </c>
      <c r="S13" s="50" t="n">
        <v>15</v>
      </c>
      <c r="T13" s="51" t="s">
        <v>124</v>
      </c>
      <c r="U13" s="52" t="n">
        <v>3</v>
      </c>
      <c r="V13" s="52" t="n">
        <v>10</v>
      </c>
      <c r="W13" s="53" t="s">
        <v>125</v>
      </c>
    </row>
    <row r="14" customFormat="false" ht="31.5" hidden="false" customHeight="true" outlineLevel="0" collapsed="false">
      <c r="A14" s="62" t="s">
        <v>109</v>
      </c>
      <c r="B14" s="62" t="s">
        <v>126</v>
      </c>
      <c r="C14" s="40" t="s">
        <v>57</v>
      </c>
      <c r="D14" s="55" t="s">
        <v>67</v>
      </c>
      <c r="E14" s="42" t="s">
        <v>127</v>
      </c>
      <c r="F14" s="56" t="n">
        <v>0</v>
      </c>
      <c r="G14" s="56" t="n">
        <v>0</v>
      </c>
      <c r="H14" s="42" t="s">
        <v>128</v>
      </c>
      <c r="I14" s="57" t="n">
        <v>0</v>
      </c>
      <c r="J14" s="57" t="n">
        <v>0</v>
      </c>
      <c r="K14" s="45" t="s">
        <v>129</v>
      </c>
      <c r="L14" s="57" t="n">
        <v>0</v>
      </c>
      <c r="M14" s="57" t="n">
        <v>0</v>
      </c>
      <c r="N14" s="47" t="s">
        <v>130</v>
      </c>
      <c r="O14" s="57" t="n">
        <v>0</v>
      </c>
      <c r="P14" s="57" t="n">
        <v>0</v>
      </c>
      <c r="Q14" s="49" t="s">
        <v>131</v>
      </c>
      <c r="R14" s="57" t="n">
        <v>0</v>
      </c>
      <c r="S14" s="57" t="n">
        <v>0</v>
      </c>
      <c r="T14" s="51" t="s">
        <v>132</v>
      </c>
      <c r="U14" s="57" t="n">
        <v>0</v>
      </c>
      <c r="V14" s="57" t="n">
        <v>0</v>
      </c>
      <c r="W14" s="53" t="s">
        <v>133</v>
      </c>
    </row>
    <row r="15" customFormat="false" ht="7.5" hidden="false" customHeight="true" outlineLevel="0" collapsed="false"/>
    <row r="16" customFormat="false" ht="31.5" hidden="false" customHeight="true" outlineLevel="0" collapsed="false">
      <c r="A16" s="64" t="s">
        <v>134</v>
      </c>
      <c r="B16" s="54" t="s">
        <v>135</v>
      </c>
      <c r="C16" s="40" t="s">
        <v>57</v>
      </c>
      <c r="D16" s="58" t="s">
        <v>76</v>
      </c>
      <c r="E16" s="42" t="s">
        <v>136</v>
      </c>
      <c r="F16" s="59" t="n">
        <v>130</v>
      </c>
      <c r="G16" s="59" t="n">
        <v>200</v>
      </c>
      <c r="H16" s="42" t="s">
        <v>137</v>
      </c>
      <c r="I16" s="63" t="n">
        <v>90</v>
      </c>
      <c r="J16" s="63" t="n">
        <v>120</v>
      </c>
      <c r="K16" s="45" t="s">
        <v>138</v>
      </c>
      <c r="L16" s="46" t="n">
        <v>60</v>
      </c>
      <c r="M16" s="46" t="n">
        <v>90</v>
      </c>
      <c r="N16" s="47" t="s">
        <v>139</v>
      </c>
      <c r="O16" s="48" t="n">
        <v>80</v>
      </c>
      <c r="P16" s="48" t="n">
        <v>120</v>
      </c>
      <c r="Q16" s="49" t="s">
        <v>140</v>
      </c>
      <c r="R16" s="50" t="n">
        <v>110</v>
      </c>
      <c r="S16" s="50" t="n">
        <v>160</v>
      </c>
      <c r="T16" s="51" t="s">
        <v>141</v>
      </c>
      <c r="U16" s="52" t="n">
        <v>70</v>
      </c>
      <c r="V16" s="52" t="n">
        <v>130</v>
      </c>
      <c r="W16" s="53" t="s">
        <v>142</v>
      </c>
    </row>
    <row r="17" customFormat="false" ht="31.5" hidden="false" customHeight="true" outlineLevel="0" collapsed="false">
      <c r="A17" s="64" t="s">
        <v>134</v>
      </c>
      <c r="B17" s="54" t="s">
        <v>143</v>
      </c>
      <c r="C17" s="40" t="s">
        <v>57</v>
      </c>
      <c r="D17" s="58" t="s">
        <v>76</v>
      </c>
      <c r="E17" s="42" t="s">
        <v>144</v>
      </c>
      <c r="F17" s="63" t="n">
        <v>5</v>
      </c>
      <c r="G17" s="63" t="n">
        <v>20</v>
      </c>
      <c r="H17" s="42" t="s">
        <v>145</v>
      </c>
      <c r="I17" s="63" t="n">
        <v>5</v>
      </c>
      <c r="J17" s="63" t="n">
        <v>15</v>
      </c>
      <c r="K17" s="45" t="s">
        <v>146</v>
      </c>
      <c r="L17" s="46" t="n">
        <v>5</v>
      </c>
      <c r="M17" s="46" t="n">
        <v>12</v>
      </c>
      <c r="N17" s="47" t="s">
        <v>147</v>
      </c>
      <c r="O17" s="48" t="n">
        <v>16</v>
      </c>
      <c r="P17" s="48" t="n">
        <v>24</v>
      </c>
      <c r="Q17" s="49" t="s">
        <v>148</v>
      </c>
      <c r="R17" s="50" t="n">
        <v>5</v>
      </c>
      <c r="S17" s="50" t="n">
        <v>20</v>
      </c>
      <c r="T17" s="51" t="s">
        <v>149</v>
      </c>
      <c r="U17" s="52" t="n">
        <v>3</v>
      </c>
      <c r="V17" s="52" t="n">
        <v>12</v>
      </c>
      <c r="W17" s="53" t="s">
        <v>150</v>
      </c>
    </row>
    <row r="18" customFormat="false" ht="31.5" hidden="false" customHeight="true" outlineLevel="0" collapsed="false">
      <c r="A18" s="64" t="s">
        <v>134</v>
      </c>
      <c r="B18" s="64" t="s">
        <v>151</v>
      </c>
      <c r="C18" s="40" t="s">
        <v>57</v>
      </c>
      <c r="D18" s="58" t="s">
        <v>76</v>
      </c>
      <c r="E18" s="42" t="s">
        <v>152</v>
      </c>
      <c r="F18" s="56" t="n">
        <v>0</v>
      </c>
      <c r="G18" s="56" t="n">
        <v>0</v>
      </c>
      <c r="H18" s="42" t="s">
        <v>153</v>
      </c>
      <c r="I18" s="57" t="n">
        <v>0</v>
      </c>
      <c r="J18" s="57" t="n">
        <v>0</v>
      </c>
      <c r="K18" s="45" t="s">
        <v>154</v>
      </c>
      <c r="L18" s="57" t="n">
        <v>0</v>
      </c>
      <c r="M18" s="57" t="n">
        <v>0</v>
      </c>
      <c r="N18" s="47" t="s">
        <v>155</v>
      </c>
      <c r="O18" s="57" t="n">
        <v>0</v>
      </c>
      <c r="P18" s="57" t="n">
        <v>0</v>
      </c>
      <c r="Q18" s="49" t="s">
        <v>156</v>
      </c>
      <c r="R18" s="57" t="n">
        <v>0</v>
      </c>
      <c r="S18" s="57" t="n">
        <v>0</v>
      </c>
      <c r="T18" s="51" t="s">
        <v>157</v>
      </c>
      <c r="U18" s="57" t="n">
        <v>0</v>
      </c>
      <c r="V18" s="57" t="n">
        <v>0</v>
      </c>
      <c r="W18" s="53" t="s">
        <v>158</v>
      </c>
    </row>
    <row r="19" customFormat="false" ht="7.5" hidden="false" customHeight="true" outlineLevel="0" collapsed="false"/>
    <row r="20" customFormat="false" ht="31.5" hidden="false" customHeight="true" outlineLevel="0" collapsed="false">
      <c r="A20" s="65" t="s">
        <v>159</v>
      </c>
      <c r="B20" s="54" t="s">
        <v>160</v>
      </c>
      <c r="C20" s="40" t="s">
        <v>57</v>
      </c>
      <c r="D20" s="58" t="s">
        <v>76</v>
      </c>
      <c r="E20" s="42" t="s">
        <v>161</v>
      </c>
      <c r="F20" s="43" t="n">
        <v>340</v>
      </c>
      <c r="G20" s="43" t="n">
        <v>380</v>
      </c>
      <c r="H20" s="42" t="s">
        <v>162</v>
      </c>
      <c r="I20" s="57" t="n">
        <v>0</v>
      </c>
      <c r="J20" s="57" t="n">
        <v>0</v>
      </c>
      <c r="K20" s="45" t="s">
        <v>163</v>
      </c>
      <c r="L20" s="46" t="n">
        <v>15</v>
      </c>
      <c r="M20" s="46" t="n">
        <v>35</v>
      </c>
      <c r="N20" s="47" t="s">
        <v>164</v>
      </c>
      <c r="O20" s="48" t="n">
        <v>12</v>
      </c>
      <c r="P20" s="48" t="n">
        <v>12</v>
      </c>
      <c r="Q20" s="49" t="s">
        <v>165</v>
      </c>
      <c r="R20" s="50" t="n">
        <v>16</v>
      </c>
      <c r="S20" s="50" t="n">
        <v>25</v>
      </c>
      <c r="T20" s="51" t="s">
        <v>166</v>
      </c>
      <c r="U20" s="52" t="n">
        <v>18</v>
      </c>
      <c r="V20" s="52" t="n">
        <v>30</v>
      </c>
      <c r="W20" s="53" t="s">
        <v>167</v>
      </c>
    </row>
    <row r="21" customFormat="false" ht="31.5" hidden="false" customHeight="true" outlineLevel="0" collapsed="false">
      <c r="A21" s="65" t="s">
        <v>159</v>
      </c>
      <c r="B21" s="54" t="s">
        <v>168</v>
      </c>
      <c r="C21" s="66" t="s">
        <v>169</v>
      </c>
      <c r="D21" s="58" t="s">
        <v>76</v>
      </c>
      <c r="E21" s="42" t="s">
        <v>170</v>
      </c>
      <c r="F21" s="63" t="n">
        <v>35</v>
      </c>
      <c r="G21" s="63" t="n">
        <v>50</v>
      </c>
      <c r="H21" s="42" t="s">
        <v>171</v>
      </c>
      <c r="I21" s="63" t="n">
        <v>35</v>
      </c>
      <c r="J21" s="63" t="n">
        <v>50</v>
      </c>
      <c r="K21" s="45" t="s">
        <v>172</v>
      </c>
      <c r="L21" s="57" t="n">
        <v>0</v>
      </c>
      <c r="M21" s="57" t="n">
        <v>0</v>
      </c>
      <c r="N21" s="47" t="s">
        <v>173</v>
      </c>
      <c r="O21" s="57" t="n">
        <v>0</v>
      </c>
      <c r="P21" s="57" t="n">
        <v>0</v>
      </c>
      <c r="Q21" s="49" t="s">
        <v>174</v>
      </c>
      <c r="R21" s="50" t="n">
        <v>35</v>
      </c>
      <c r="S21" s="50" t="n">
        <v>55</v>
      </c>
      <c r="T21" s="51" t="s">
        <v>175</v>
      </c>
      <c r="U21" s="52" t="n">
        <v>25</v>
      </c>
      <c r="V21" s="52" t="n">
        <v>50</v>
      </c>
      <c r="W21" s="53" t="s">
        <v>176</v>
      </c>
    </row>
    <row r="22" customFormat="false" ht="31.5" hidden="false" customHeight="true" outlineLevel="0" collapsed="false">
      <c r="A22" s="65" t="s">
        <v>159</v>
      </c>
      <c r="B22" s="65" t="s">
        <v>177</v>
      </c>
      <c r="C22" s="66" t="s">
        <v>169</v>
      </c>
      <c r="D22" s="58" t="s">
        <v>76</v>
      </c>
      <c r="E22" s="42" t="s">
        <v>178</v>
      </c>
      <c r="F22" s="67" t="n">
        <v>4</v>
      </c>
      <c r="G22" s="67" t="n">
        <v>8</v>
      </c>
      <c r="H22" s="42" t="s">
        <v>179</v>
      </c>
      <c r="I22" s="67" t="n">
        <v>4</v>
      </c>
      <c r="J22" s="67" t="n">
        <v>8</v>
      </c>
      <c r="K22" s="45" t="s">
        <v>180</v>
      </c>
      <c r="L22" s="57" t="n">
        <v>0</v>
      </c>
      <c r="M22" s="57" t="n">
        <v>0</v>
      </c>
      <c r="N22" s="47" t="s">
        <v>181</v>
      </c>
      <c r="O22" s="57" t="n">
        <v>0</v>
      </c>
      <c r="P22" s="57" t="n">
        <v>0</v>
      </c>
      <c r="Q22" s="49" t="s">
        <v>182</v>
      </c>
      <c r="R22" s="50" t="n">
        <v>7</v>
      </c>
      <c r="S22" s="50" t="n">
        <v>10</v>
      </c>
      <c r="T22" s="51" t="s">
        <v>183</v>
      </c>
      <c r="U22" s="52" t="n">
        <v>3</v>
      </c>
      <c r="V22" s="52" t="n">
        <v>6</v>
      </c>
      <c r="W22" s="53" t="s">
        <v>184</v>
      </c>
    </row>
    <row r="23" customFormat="false" ht="31.5" hidden="false" customHeight="true" outlineLevel="0" collapsed="false">
      <c r="A23" s="65" t="s">
        <v>159</v>
      </c>
      <c r="B23" s="54" t="s">
        <v>185</v>
      </c>
      <c r="C23" s="66" t="s">
        <v>169</v>
      </c>
      <c r="D23" s="58" t="s">
        <v>76</v>
      </c>
      <c r="E23" s="42" t="s">
        <v>186</v>
      </c>
      <c r="F23" s="63" t="n">
        <v>5</v>
      </c>
      <c r="G23" s="63" t="n">
        <v>20</v>
      </c>
      <c r="H23" s="42" t="s">
        <v>187</v>
      </c>
      <c r="I23" s="63" t="n">
        <v>5</v>
      </c>
      <c r="J23" s="63" t="n">
        <v>15</v>
      </c>
      <c r="K23" s="45" t="s">
        <v>188</v>
      </c>
      <c r="L23" s="57" t="n">
        <v>0</v>
      </c>
      <c r="M23" s="57" t="n">
        <v>0</v>
      </c>
      <c r="N23" s="47" t="s">
        <v>189</v>
      </c>
      <c r="O23" s="57" t="n">
        <v>0</v>
      </c>
      <c r="P23" s="57" t="n">
        <v>0</v>
      </c>
      <c r="Q23" s="49" t="s">
        <v>190</v>
      </c>
      <c r="R23" s="50" t="n">
        <v>5</v>
      </c>
      <c r="S23" s="50" t="n">
        <v>20</v>
      </c>
      <c r="T23" s="51" t="s">
        <v>191</v>
      </c>
      <c r="U23" s="52" t="n">
        <v>5</v>
      </c>
      <c r="V23" s="52" t="n">
        <v>15</v>
      </c>
      <c r="W23" s="53" t="s">
        <v>192</v>
      </c>
    </row>
    <row r="24" customFormat="false" ht="31.5" hidden="false" customHeight="true" outlineLevel="0" collapsed="false">
      <c r="A24" s="65" t="s">
        <v>159</v>
      </c>
      <c r="B24" s="65" t="s">
        <v>193</v>
      </c>
      <c r="C24" s="66" t="s">
        <v>169</v>
      </c>
      <c r="D24" s="41" t="s">
        <v>58</v>
      </c>
      <c r="E24" s="42" t="s">
        <v>194</v>
      </c>
      <c r="F24" s="67" t="n">
        <v>5</v>
      </c>
      <c r="G24" s="67" t="n">
        <v>20</v>
      </c>
      <c r="H24" s="42" t="s">
        <v>195</v>
      </c>
      <c r="I24" s="67" t="n">
        <v>5</v>
      </c>
      <c r="J24" s="67" t="n">
        <v>15</v>
      </c>
      <c r="K24" s="45" t="s">
        <v>196</v>
      </c>
      <c r="L24" s="57" t="n">
        <v>0</v>
      </c>
      <c r="M24" s="57" t="n">
        <v>0</v>
      </c>
      <c r="N24" s="47" t="s">
        <v>197</v>
      </c>
      <c r="O24" s="57" t="n">
        <v>0</v>
      </c>
      <c r="P24" s="57" t="n">
        <v>0</v>
      </c>
      <c r="Q24" s="49" t="s">
        <v>198</v>
      </c>
      <c r="R24" s="50" t="n">
        <v>5</v>
      </c>
      <c r="S24" s="50" t="n">
        <v>20</v>
      </c>
      <c r="T24" s="51" t="s">
        <v>199</v>
      </c>
      <c r="U24" s="52" t="n">
        <v>5</v>
      </c>
      <c r="V24" s="52" t="n">
        <v>15</v>
      </c>
      <c r="W24" s="53" t="s">
        <v>200</v>
      </c>
    </row>
    <row r="25" customFormat="false" ht="31.5" hidden="false" customHeight="true" outlineLevel="0" collapsed="false">
      <c r="A25" s="65" t="s">
        <v>159</v>
      </c>
      <c r="B25" s="54" t="s">
        <v>201</v>
      </c>
      <c r="C25" s="66" t="s">
        <v>169</v>
      </c>
      <c r="D25" s="58" t="s">
        <v>76</v>
      </c>
      <c r="E25" s="42" t="s">
        <v>202</v>
      </c>
      <c r="F25" s="63" t="n">
        <v>43</v>
      </c>
      <c r="G25" s="59" t="n">
        <v>87</v>
      </c>
      <c r="H25" s="42" t="s">
        <v>203</v>
      </c>
      <c r="I25" s="63" t="n">
        <v>20</v>
      </c>
      <c r="J25" s="63" t="n">
        <v>50</v>
      </c>
      <c r="K25" s="45" t="s">
        <v>204</v>
      </c>
      <c r="L25" s="57" t="n">
        <v>0</v>
      </c>
      <c r="M25" s="57" t="n">
        <v>0</v>
      </c>
      <c r="N25" s="47" t="s">
        <v>205</v>
      </c>
      <c r="O25" s="57" t="n">
        <v>0</v>
      </c>
      <c r="P25" s="57" t="n">
        <v>0</v>
      </c>
      <c r="Q25" s="49" t="s">
        <v>206</v>
      </c>
      <c r="R25" s="50" t="n">
        <v>43</v>
      </c>
      <c r="S25" s="50" t="n">
        <v>90</v>
      </c>
      <c r="T25" s="51" t="s">
        <v>207</v>
      </c>
      <c r="U25" s="52" t="n">
        <v>50</v>
      </c>
      <c r="V25" s="52" t="n">
        <v>120</v>
      </c>
      <c r="W25" s="53" t="s">
        <v>208</v>
      </c>
    </row>
    <row r="26" customFormat="false" ht="31.5" hidden="false" customHeight="true" outlineLevel="0" collapsed="false">
      <c r="A26" s="65" t="s">
        <v>159</v>
      </c>
      <c r="B26" s="65" t="s">
        <v>209</v>
      </c>
      <c r="C26" s="40" t="s">
        <v>57</v>
      </c>
      <c r="D26" s="41" t="s">
        <v>58</v>
      </c>
      <c r="E26" s="42" t="s">
        <v>210</v>
      </c>
      <c r="F26" s="67" t="n">
        <v>15</v>
      </c>
      <c r="G26" s="67" t="n">
        <v>30</v>
      </c>
      <c r="H26" s="42" t="s">
        <v>211</v>
      </c>
      <c r="I26" s="57" t="n">
        <v>0</v>
      </c>
      <c r="J26" s="57" t="n">
        <v>0</v>
      </c>
      <c r="K26" s="45" t="s">
        <v>212</v>
      </c>
      <c r="L26" s="57" t="n">
        <v>0</v>
      </c>
      <c r="M26" s="57" t="n">
        <v>0</v>
      </c>
      <c r="N26" s="47" t="s">
        <v>213</v>
      </c>
      <c r="O26" s="57" t="n">
        <v>0</v>
      </c>
      <c r="P26" s="57" t="n">
        <v>0</v>
      </c>
      <c r="Q26" s="49" t="s">
        <v>214</v>
      </c>
      <c r="R26" s="50" t="n">
        <v>7</v>
      </c>
      <c r="S26" s="50" t="n">
        <v>18</v>
      </c>
      <c r="T26" s="51" t="s">
        <v>215</v>
      </c>
      <c r="U26" s="52" t="n">
        <v>5</v>
      </c>
      <c r="V26" s="52" t="n">
        <v>10</v>
      </c>
      <c r="W26" s="53" t="s">
        <v>216</v>
      </c>
    </row>
    <row r="27" customFormat="false" ht="31.5" hidden="false" customHeight="true" outlineLevel="0" collapsed="false">
      <c r="A27" s="65" t="s">
        <v>159</v>
      </c>
      <c r="B27" s="54" t="s">
        <v>217</v>
      </c>
      <c r="C27" s="66" t="s">
        <v>169</v>
      </c>
      <c r="D27" s="58" t="s">
        <v>76</v>
      </c>
      <c r="E27" s="42" t="s">
        <v>218</v>
      </c>
      <c r="F27" s="63" t="n">
        <v>2</v>
      </c>
      <c r="G27" s="63" t="n">
        <v>8</v>
      </c>
      <c r="H27" s="42" t="s">
        <v>219</v>
      </c>
      <c r="I27" s="63" t="n">
        <v>2</v>
      </c>
      <c r="J27" s="63" t="n">
        <v>8</v>
      </c>
      <c r="K27" s="45" t="s">
        <v>220</v>
      </c>
      <c r="L27" s="46" t="n">
        <v>1</v>
      </c>
      <c r="M27" s="46" t="n">
        <v>3</v>
      </c>
      <c r="N27" s="47" t="s">
        <v>221</v>
      </c>
      <c r="O27" s="57" t="n">
        <v>0</v>
      </c>
      <c r="P27" s="57" t="n">
        <v>0</v>
      </c>
      <c r="Q27" s="49" t="s">
        <v>222</v>
      </c>
      <c r="R27" s="50" t="n">
        <v>1</v>
      </c>
      <c r="S27" s="50" t="n">
        <v>5</v>
      </c>
      <c r="T27" s="51" t="s">
        <v>223</v>
      </c>
      <c r="U27" s="52" t="n">
        <v>1</v>
      </c>
      <c r="V27" s="52" t="n">
        <v>5</v>
      </c>
      <c r="W27" s="53" t="s">
        <v>224</v>
      </c>
    </row>
    <row r="28" customFormat="false" ht="7.5" hidden="false" customHeight="true" outlineLevel="0" collapsed="false"/>
    <row r="29" customFormat="false" ht="31.5" hidden="false" customHeight="true" outlineLevel="0" collapsed="false">
      <c r="A29" s="68" t="s">
        <v>225</v>
      </c>
      <c r="B29" s="68" t="s">
        <v>226</v>
      </c>
      <c r="C29" s="40" t="s">
        <v>57</v>
      </c>
      <c r="D29" s="58" t="s">
        <v>76</v>
      </c>
      <c r="E29" s="42" t="s">
        <v>227</v>
      </c>
      <c r="F29" s="69" t="n">
        <v>5</v>
      </c>
      <c r="G29" s="69" t="n">
        <v>15</v>
      </c>
      <c r="H29" s="42" t="s">
        <v>228</v>
      </c>
      <c r="I29" s="69" t="n">
        <v>5</v>
      </c>
      <c r="J29" s="69" t="n">
        <v>15</v>
      </c>
      <c r="K29" s="45" t="s">
        <v>220</v>
      </c>
      <c r="L29" s="46" t="n">
        <v>5</v>
      </c>
      <c r="M29" s="46" t="n">
        <v>10</v>
      </c>
      <c r="N29" s="47" t="s">
        <v>229</v>
      </c>
      <c r="O29" s="48" t="n">
        <v>6</v>
      </c>
      <c r="P29" s="48" t="n">
        <v>12</v>
      </c>
      <c r="Q29" s="49" t="s">
        <v>230</v>
      </c>
      <c r="R29" s="50" t="n">
        <v>1</v>
      </c>
      <c r="S29" s="50" t="n">
        <v>10</v>
      </c>
      <c r="T29" s="51" t="s">
        <v>231</v>
      </c>
      <c r="U29" s="52" t="n">
        <v>1</v>
      </c>
      <c r="V29" s="52" t="n">
        <v>6</v>
      </c>
      <c r="W29" s="53" t="s">
        <v>232</v>
      </c>
    </row>
    <row r="30" customFormat="false" ht="31.5" hidden="false" customHeight="true" outlineLevel="0" collapsed="false">
      <c r="A30" s="68" t="s">
        <v>225</v>
      </c>
      <c r="B30" s="68" t="s">
        <v>233</v>
      </c>
      <c r="C30" s="40" t="s">
        <v>57</v>
      </c>
      <c r="D30" s="70" t="s">
        <v>234</v>
      </c>
      <c r="E30" s="42" t="s">
        <v>235</v>
      </c>
      <c r="F30" s="59" t="n">
        <v>150</v>
      </c>
      <c r="G30" s="59" t="n">
        <v>300</v>
      </c>
      <c r="H30" s="42" t="s">
        <v>236</v>
      </c>
      <c r="I30" s="69" t="n">
        <v>50</v>
      </c>
      <c r="J30" s="69" t="n">
        <v>80</v>
      </c>
      <c r="K30" s="45" t="s">
        <v>237</v>
      </c>
      <c r="L30" s="46" t="n">
        <v>5</v>
      </c>
      <c r="M30" s="46" t="n">
        <v>20</v>
      </c>
      <c r="N30" s="47" t="s">
        <v>238</v>
      </c>
      <c r="O30" s="48" t="n">
        <v>7</v>
      </c>
      <c r="P30" s="48" t="n">
        <v>20</v>
      </c>
      <c r="Q30" s="49" t="s">
        <v>239</v>
      </c>
      <c r="R30" s="50" t="n">
        <v>30</v>
      </c>
      <c r="S30" s="50" t="n">
        <v>80</v>
      </c>
      <c r="T30" s="51" t="s">
        <v>240</v>
      </c>
      <c r="U30" s="52" t="n">
        <v>20</v>
      </c>
      <c r="V30" s="52" t="n">
        <v>60</v>
      </c>
      <c r="W30" s="53" t="s">
        <v>241</v>
      </c>
    </row>
    <row r="31" customFormat="false" ht="31.5" hidden="false" customHeight="true" outlineLevel="0" collapsed="false">
      <c r="A31" s="68" t="s">
        <v>225</v>
      </c>
      <c r="B31" s="54" t="s">
        <v>242</v>
      </c>
      <c r="C31" s="40" t="s">
        <v>57</v>
      </c>
      <c r="D31" s="70" t="s">
        <v>234</v>
      </c>
      <c r="E31" s="42" t="s">
        <v>243</v>
      </c>
      <c r="F31" s="63" t="n">
        <v>2</v>
      </c>
      <c r="G31" s="63" t="n">
        <v>10</v>
      </c>
      <c r="H31" s="42" t="s">
        <v>244</v>
      </c>
      <c r="I31" s="63" t="n">
        <v>2</v>
      </c>
      <c r="J31" s="63" t="n">
        <v>10</v>
      </c>
      <c r="K31" s="45" t="s">
        <v>220</v>
      </c>
      <c r="L31" s="46" t="n">
        <v>2</v>
      </c>
      <c r="M31" s="46" t="n">
        <v>8</v>
      </c>
      <c r="N31" s="47" t="s">
        <v>245</v>
      </c>
      <c r="O31" s="48" t="n">
        <v>2</v>
      </c>
      <c r="P31" s="48" t="n">
        <v>8</v>
      </c>
      <c r="Q31" s="49" t="s">
        <v>246</v>
      </c>
      <c r="R31" s="50" t="n">
        <v>2</v>
      </c>
      <c r="S31" s="50" t="n">
        <v>8</v>
      </c>
      <c r="T31" s="51" t="s">
        <v>247</v>
      </c>
      <c r="U31" s="52" t="n">
        <v>1</v>
      </c>
      <c r="V31" s="52" t="n">
        <v>5</v>
      </c>
      <c r="W31" s="53" t="s">
        <v>248</v>
      </c>
    </row>
    <row r="32" customFormat="false" ht="31.5" hidden="false" customHeight="true" outlineLevel="0" collapsed="false">
      <c r="A32" s="68" t="s">
        <v>225</v>
      </c>
      <c r="B32" s="68" t="s">
        <v>249</v>
      </c>
      <c r="C32" s="40" t="s">
        <v>57</v>
      </c>
      <c r="D32" s="70" t="s">
        <v>234</v>
      </c>
      <c r="E32" s="42" t="s">
        <v>250</v>
      </c>
      <c r="F32" s="56" t="n">
        <v>0</v>
      </c>
      <c r="G32" s="56" t="n">
        <v>0</v>
      </c>
      <c r="H32" s="42" t="s">
        <v>251</v>
      </c>
      <c r="I32" s="57" t="n">
        <v>0</v>
      </c>
      <c r="J32" s="57" t="n">
        <v>0</v>
      </c>
      <c r="K32" s="45" t="s">
        <v>252</v>
      </c>
      <c r="L32" s="57" t="n">
        <v>0</v>
      </c>
      <c r="M32" s="57" t="n">
        <v>0</v>
      </c>
      <c r="N32" s="47" t="s">
        <v>253</v>
      </c>
      <c r="O32" s="57" t="n">
        <v>0</v>
      </c>
      <c r="P32" s="57" t="n">
        <v>0</v>
      </c>
      <c r="Q32" s="49" t="s">
        <v>254</v>
      </c>
      <c r="R32" s="57" t="n">
        <v>0</v>
      </c>
      <c r="S32" s="57" t="n">
        <v>0</v>
      </c>
      <c r="T32" s="51" t="s">
        <v>255</v>
      </c>
      <c r="U32" s="57" t="n">
        <v>0</v>
      </c>
      <c r="V32" s="57" t="n">
        <v>0</v>
      </c>
      <c r="W32" s="53" t="s">
        <v>256</v>
      </c>
    </row>
    <row r="33" customFormat="false" ht="31.5" hidden="false" customHeight="true" outlineLevel="0" collapsed="false">
      <c r="A33" s="68" t="s">
        <v>225</v>
      </c>
      <c r="B33" s="54" t="s">
        <v>257</v>
      </c>
      <c r="C33" s="66" t="s">
        <v>169</v>
      </c>
      <c r="D33" s="55" t="s">
        <v>67</v>
      </c>
      <c r="E33" s="42" t="s">
        <v>258</v>
      </c>
      <c r="F33" s="63" t="n">
        <v>5</v>
      </c>
      <c r="G33" s="63" t="n">
        <v>20</v>
      </c>
      <c r="H33" s="42" t="s">
        <v>259</v>
      </c>
      <c r="I33" s="63" t="n">
        <v>5</v>
      </c>
      <c r="J33" s="63" t="n">
        <v>15</v>
      </c>
      <c r="K33" s="45" t="s">
        <v>220</v>
      </c>
      <c r="L33" s="46" t="n">
        <v>5</v>
      </c>
      <c r="M33" s="46" t="n">
        <v>15</v>
      </c>
      <c r="N33" s="47" t="s">
        <v>260</v>
      </c>
      <c r="O33" s="57" t="n">
        <v>0</v>
      </c>
      <c r="P33" s="57" t="n">
        <v>0</v>
      </c>
      <c r="Q33" s="49" t="s">
        <v>261</v>
      </c>
      <c r="R33" s="57" t="n">
        <v>0</v>
      </c>
      <c r="S33" s="50" t="n">
        <v>10</v>
      </c>
      <c r="T33" s="51" t="s">
        <v>262</v>
      </c>
      <c r="U33" s="57" t="n">
        <v>0</v>
      </c>
      <c r="V33" s="52" t="n">
        <v>10</v>
      </c>
      <c r="W33" s="53" t="s">
        <v>263</v>
      </c>
    </row>
    <row r="34" customFormat="false" ht="7.5" hidden="false" customHeight="true" outlineLevel="0" collapsed="false"/>
    <row r="35" customFormat="false" ht="31.5" hidden="false" customHeight="true" outlineLevel="0" collapsed="false">
      <c r="A35" s="71" t="s">
        <v>264</v>
      </c>
      <c r="B35" s="71" t="s">
        <v>265</v>
      </c>
      <c r="C35" s="40" t="s">
        <v>57</v>
      </c>
      <c r="D35" s="55" t="s">
        <v>67</v>
      </c>
      <c r="E35" s="42" t="s">
        <v>266</v>
      </c>
      <c r="F35" s="72" t="n">
        <v>20</v>
      </c>
      <c r="G35" s="59" t="n">
        <v>60</v>
      </c>
      <c r="H35" s="42" t="s">
        <v>267</v>
      </c>
      <c r="I35" s="72" t="n">
        <v>20</v>
      </c>
      <c r="J35" s="72" t="n">
        <v>40</v>
      </c>
      <c r="K35" s="45" t="s">
        <v>268</v>
      </c>
      <c r="L35" s="46" t="n">
        <v>5</v>
      </c>
      <c r="M35" s="46" t="n">
        <v>15</v>
      </c>
      <c r="N35" s="47" t="s">
        <v>269</v>
      </c>
      <c r="O35" s="48" t="n">
        <v>7</v>
      </c>
      <c r="P35" s="48" t="n">
        <v>20</v>
      </c>
      <c r="Q35" s="49" t="s">
        <v>270</v>
      </c>
      <c r="R35" s="50" t="n">
        <v>20</v>
      </c>
      <c r="S35" s="50" t="n">
        <v>50</v>
      </c>
      <c r="T35" s="51" t="s">
        <v>271</v>
      </c>
      <c r="U35" s="52" t="n">
        <v>10</v>
      </c>
      <c r="V35" s="52" t="n">
        <v>30</v>
      </c>
      <c r="W35" s="53" t="s">
        <v>272</v>
      </c>
    </row>
    <row r="36" customFormat="false" ht="31.5" hidden="false" customHeight="true" outlineLevel="0" collapsed="false">
      <c r="A36" s="71" t="s">
        <v>264</v>
      </c>
      <c r="B36" s="71" t="s">
        <v>273</v>
      </c>
      <c r="C36" s="66" t="s">
        <v>169</v>
      </c>
      <c r="D36" s="55" t="s">
        <v>67</v>
      </c>
      <c r="E36" s="42" t="s">
        <v>274</v>
      </c>
      <c r="F36" s="72" t="n">
        <v>5</v>
      </c>
      <c r="G36" s="72" t="n">
        <v>20</v>
      </c>
      <c r="H36" s="42" t="s">
        <v>275</v>
      </c>
      <c r="I36" s="72" t="n">
        <v>5</v>
      </c>
      <c r="J36" s="72" t="n">
        <v>20</v>
      </c>
      <c r="K36" s="45" t="s">
        <v>220</v>
      </c>
      <c r="L36" s="57" t="n">
        <v>0</v>
      </c>
      <c r="M36" s="57" t="n">
        <v>0</v>
      </c>
      <c r="N36" s="47" t="s">
        <v>276</v>
      </c>
      <c r="O36" s="57" t="n">
        <v>0</v>
      </c>
      <c r="P36" s="57" t="n">
        <v>0</v>
      </c>
      <c r="Q36" s="49" t="s">
        <v>277</v>
      </c>
      <c r="R36" s="50" t="n">
        <v>5</v>
      </c>
      <c r="S36" s="50" t="n">
        <v>15</v>
      </c>
      <c r="T36" s="51" t="s">
        <v>278</v>
      </c>
      <c r="U36" s="57" t="n">
        <v>0</v>
      </c>
      <c r="V36" s="52" t="n">
        <v>10</v>
      </c>
      <c r="W36" s="53" t="s">
        <v>279</v>
      </c>
    </row>
    <row r="37" customFormat="false" ht="31.5" hidden="false" customHeight="true" outlineLevel="0" collapsed="false">
      <c r="A37" s="71" t="s">
        <v>264</v>
      </c>
      <c r="B37" s="54" t="s">
        <v>280</v>
      </c>
      <c r="C37" s="66" t="s">
        <v>169</v>
      </c>
      <c r="D37" s="55" t="s">
        <v>67</v>
      </c>
      <c r="E37" s="42" t="s">
        <v>281</v>
      </c>
      <c r="F37" s="63" t="n">
        <v>5</v>
      </c>
      <c r="G37" s="63" t="n">
        <v>15</v>
      </c>
      <c r="H37" s="42" t="s">
        <v>282</v>
      </c>
      <c r="I37" s="63" t="n">
        <v>5</v>
      </c>
      <c r="J37" s="63" t="n">
        <v>15</v>
      </c>
      <c r="K37" s="45" t="s">
        <v>220</v>
      </c>
      <c r="L37" s="57" t="n">
        <v>0</v>
      </c>
      <c r="M37" s="57" t="n">
        <v>0</v>
      </c>
      <c r="N37" s="47" t="s">
        <v>283</v>
      </c>
      <c r="O37" s="57" t="n">
        <v>0</v>
      </c>
      <c r="P37" s="57" t="n">
        <v>0</v>
      </c>
      <c r="Q37" s="49" t="s">
        <v>284</v>
      </c>
      <c r="R37" s="50" t="n">
        <v>3</v>
      </c>
      <c r="S37" s="50" t="n">
        <v>10</v>
      </c>
      <c r="T37" s="51" t="s">
        <v>285</v>
      </c>
      <c r="U37" s="57" t="n">
        <v>0</v>
      </c>
      <c r="V37" s="52" t="n">
        <v>5</v>
      </c>
      <c r="W37" s="53" t="s">
        <v>286</v>
      </c>
    </row>
    <row r="38" customFormat="false" ht="7.5" hidden="false" customHeight="true" outlineLevel="0" collapsed="false"/>
    <row r="39" customFormat="false" ht="31.5" hidden="false" customHeight="true" outlineLevel="0" collapsed="false">
      <c r="A39" s="73" t="s">
        <v>287</v>
      </c>
      <c r="B39" s="73" t="s">
        <v>288</v>
      </c>
      <c r="C39" s="66" t="s">
        <v>169</v>
      </c>
      <c r="D39" s="58" t="s">
        <v>76</v>
      </c>
      <c r="E39" s="42" t="s">
        <v>289</v>
      </c>
      <c r="F39" s="59" t="n">
        <v>100</v>
      </c>
      <c r="G39" s="59" t="n">
        <v>300</v>
      </c>
      <c r="H39" s="42" t="s">
        <v>290</v>
      </c>
      <c r="I39" s="74" t="n">
        <v>100</v>
      </c>
      <c r="J39" s="74" t="n">
        <v>300</v>
      </c>
      <c r="K39" s="45" t="s">
        <v>220</v>
      </c>
      <c r="L39" s="57" t="n">
        <v>0</v>
      </c>
      <c r="M39" s="46" t="n">
        <v>100</v>
      </c>
      <c r="N39" s="47" t="s">
        <v>291</v>
      </c>
      <c r="O39" s="57" t="n">
        <v>0</v>
      </c>
      <c r="P39" s="48" t="n">
        <v>50</v>
      </c>
      <c r="Q39" s="49" t="s">
        <v>292</v>
      </c>
      <c r="R39" s="50" t="n">
        <v>29</v>
      </c>
      <c r="S39" s="50" t="n">
        <v>100</v>
      </c>
      <c r="T39" s="51" t="s">
        <v>293</v>
      </c>
      <c r="U39" s="52" t="n">
        <v>100</v>
      </c>
      <c r="V39" s="52" t="n">
        <v>150</v>
      </c>
      <c r="W39" s="53" t="s">
        <v>294</v>
      </c>
    </row>
    <row r="40" customFormat="false" ht="27.75" hidden="false" customHeight="true" outlineLevel="0" collapsed="false">
      <c r="A40" s="75" t="s">
        <v>295</v>
      </c>
      <c r="B40" s="75"/>
      <c r="C40" s="75"/>
      <c r="D40" s="75"/>
      <c r="E40" s="75"/>
      <c r="F40" s="76" t="n">
        <f aca="false">SUM(F4:F39)</f>
        <v>2149</v>
      </c>
      <c r="G40" s="76" t="n">
        <f aca="false">SUM(G4:G39)</f>
        <v>3232</v>
      </c>
      <c r="H40" s="77" t="s">
        <v>296</v>
      </c>
      <c r="I40" s="76" t="n">
        <f aca="false">SUM(I4:I39)</f>
        <v>763</v>
      </c>
      <c r="J40" s="76" t="n">
        <f aca="false">SUM(J4:J39)</f>
        <v>1306</v>
      </c>
      <c r="K40" s="77" t="s">
        <v>297</v>
      </c>
      <c r="L40" s="76" t="n">
        <f aca="false">SUM(L4:L39)</f>
        <v>208</v>
      </c>
      <c r="M40" s="76" t="n">
        <f aca="false">SUM(M4:M39)</f>
        <v>498</v>
      </c>
      <c r="N40" s="77" t="s">
        <v>298</v>
      </c>
      <c r="O40" s="76" t="n">
        <f aca="false">SUM(O4:O39)</f>
        <v>252</v>
      </c>
      <c r="P40" s="76" t="n">
        <f aca="false">SUM(P4:P39)</f>
        <v>399</v>
      </c>
      <c r="Q40" s="77" t="s">
        <v>299</v>
      </c>
      <c r="R40" s="76" t="n">
        <f aca="false">SUM(R4:R39)</f>
        <v>504</v>
      </c>
      <c r="S40" s="76" t="n">
        <f aca="false">SUM(S4:S39)</f>
        <v>1046</v>
      </c>
      <c r="T40" s="77" t="s">
        <v>300</v>
      </c>
      <c r="U40" s="76" t="n">
        <f aca="false">SUM(U4:U39)</f>
        <v>375</v>
      </c>
      <c r="V40" s="76" t="n">
        <f aca="false">SUM(V4:V39)</f>
        <v>864</v>
      </c>
      <c r="W40" s="77" t="s">
        <v>301</v>
      </c>
    </row>
  </sheetData>
  <mergeCells count="8">
    <mergeCell ref="A1:V1"/>
    <mergeCell ref="F2:H2"/>
    <mergeCell ref="I2:K2"/>
    <mergeCell ref="L2:N2"/>
    <mergeCell ref="O2:Q2"/>
    <mergeCell ref="R2:T2"/>
    <mergeCell ref="U2:W2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6" min="5" style="0" width="9"/>
    <col collapsed="false" customWidth="true" hidden="false" outlineLevel="0" max="7" min="7" style="0" width="50"/>
  </cols>
  <sheetData>
    <row r="1" customFormat="false" ht="27.75" hidden="false" customHeight="true" outlineLevel="0" collapsed="false">
      <c r="A1" s="78" t="s">
        <v>302</v>
      </c>
      <c r="B1" s="78"/>
      <c r="C1" s="78"/>
      <c r="D1" s="78"/>
      <c r="E1" s="78"/>
      <c r="F1" s="78"/>
      <c r="G1" s="78"/>
    </row>
    <row r="2" customFormat="false" ht="15" hidden="false" customHeight="false" outlineLevel="0" collapsed="false">
      <c r="A2" s="79" t="s">
        <v>303</v>
      </c>
      <c r="B2" s="79"/>
      <c r="C2" s="79"/>
      <c r="D2" s="79"/>
      <c r="E2" s="79"/>
      <c r="F2" s="79"/>
      <c r="G2" s="79"/>
    </row>
    <row r="3" customFormat="false" ht="15" hidden="false" customHeight="false" outlineLevel="0" collapsed="false">
      <c r="A3" s="80" t="s">
        <v>47</v>
      </c>
      <c r="B3" s="80" t="s">
        <v>304</v>
      </c>
      <c r="C3" s="80" t="s">
        <v>305</v>
      </c>
      <c r="D3" s="80" t="s">
        <v>306</v>
      </c>
      <c r="E3" s="80" t="s">
        <v>52</v>
      </c>
      <c r="F3" s="80" t="s">
        <v>53</v>
      </c>
      <c r="G3" s="80" t="s">
        <v>307</v>
      </c>
    </row>
    <row r="4" customFormat="false" ht="30" hidden="false" customHeight="true" outlineLevel="0" collapsed="false">
      <c r="A4" s="47" t="s">
        <v>308</v>
      </c>
      <c r="B4" s="47" t="s">
        <v>309</v>
      </c>
      <c r="C4" s="47" t="s">
        <v>310</v>
      </c>
      <c r="D4" s="47" t="s">
        <v>311</v>
      </c>
      <c r="E4" s="46" t="n">
        <v>15</v>
      </c>
      <c r="F4" s="46" t="n">
        <v>35</v>
      </c>
      <c r="G4" s="81" t="s">
        <v>312</v>
      </c>
    </row>
    <row r="5" customFormat="false" ht="30" hidden="false" customHeight="true" outlineLevel="0" collapsed="false">
      <c r="A5" s="82" t="s">
        <v>308</v>
      </c>
      <c r="B5" s="82" t="s">
        <v>313</v>
      </c>
      <c r="C5" s="82" t="s">
        <v>314</v>
      </c>
      <c r="D5" s="82" t="s">
        <v>315</v>
      </c>
      <c r="E5" s="57" t="n">
        <v>0</v>
      </c>
      <c r="F5" s="83" t="n">
        <v>10</v>
      </c>
      <c r="G5" s="84" t="s">
        <v>316</v>
      </c>
    </row>
    <row r="6" customFormat="false" ht="30" hidden="false" customHeight="true" outlineLevel="0" collapsed="false">
      <c r="A6" s="47" t="s">
        <v>308</v>
      </c>
      <c r="B6" s="47" t="s">
        <v>317</v>
      </c>
      <c r="C6" s="47" t="s">
        <v>318</v>
      </c>
      <c r="D6" s="47" t="s">
        <v>319</v>
      </c>
      <c r="E6" s="57" t="n">
        <v>0</v>
      </c>
      <c r="F6" s="57" t="n">
        <v>0</v>
      </c>
      <c r="G6" s="81" t="s">
        <v>320</v>
      </c>
    </row>
    <row r="7" customFormat="false" ht="30" hidden="false" customHeight="true" outlineLevel="0" collapsed="false">
      <c r="A7" s="82" t="s">
        <v>308</v>
      </c>
      <c r="B7" s="82" t="s">
        <v>321</v>
      </c>
      <c r="C7" s="82" t="s">
        <v>322</v>
      </c>
      <c r="D7" s="82" t="s">
        <v>323</v>
      </c>
      <c r="E7" s="57" t="n">
        <v>0</v>
      </c>
      <c r="F7" s="57" t="n">
        <v>0</v>
      </c>
      <c r="G7" s="84" t="s">
        <v>324</v>
      </c>
    </row>
    <row r="8" customFormat="false" ht="30" hidden="false" customHeight="true" outlineLevel="0" collapsed="false">
      <c r="A8" s="47" t="s">
        <v>325</v>
      </c>
      <c r="B8" s="47" t="s">
        <v>326</v>
      </c>
      <c r="C8" s="47" t="s">
        <v>327</v>
      </c>
      <c r="D8" s="47" t="s">
        <v>328</v>
      </c>
      <c r="E8" s="46" t="n">
        <v>5</v>
      </c>
      <c r="F8" s="46" t="n">
        <v>15</v>
      </c>
      <c r="G8" s="81" t="s">
        <v>329</v>
      </c>
    </row>
    <row r="9" customFormat="false" ht="30" hidden="false" customHeight="true" outlineLevel="0" collapsed="false">
      <c r="A9" s="82" t="s">
        <v>325</v>
      </c>
      <c r="B9" s="82" t="s">
        <v>330</v>
      </c>
      <c r="C9" s="82" t="s">
        <v>331</v>
      </c>
      <c r="D9" s="82" t="s">
        <v>332</v>
      </c>
      <c r="E9" s="57" t="n">
        <v>0</v>
      </c>
      <c r="F9" s="83" t="n">
        <v>20</v>
      </c>
      <c r="G9" s="84" t="s">
        <v>333</v>
      </c>
    </row>
    <row r="10" customFormat="false" ht="30" hidden="false" customHeight="true" outlineLevel="0" collapsed="false">
      <c r="A10" s="47" t="s">
        <v>109</v>
      </c>
      <c r="B10" s="47" t="s">
        <v>334</v>
      </c>
      <c r="C10" s="47" t="s">
        <v>335</v>
      </c>
      <c r="D10" s="47" t="s">
        <v>336</v>
      </c>
      <c r="E10" s="46" t="n">
        <v>80</v>
      </c>
      <c r="F10" s="46" t="n">
        <v>110</v>
      </c>
      <c r="G10" s="81" t="s">
        <v>337</v>
      </c>
    </row>
    <row r="11" customFormat="false" ht="30" hidden="false" customHeight="true" outlineLevel="0" collapsed="false">
      <c r="A11" s="82" t="s">
        <v>109</v>
      </c>
      <c r="B11" s="82" t="s">
        <v>118</v>
      </c>
      <c r="C11" s="82" t="s">
        <v>338</v>
      </c>
      <c r="D11" s="82" t="s">
        <v>339</v>
      </c>
      <c r="E11" s="83" t="n">
        <v>5</v>
      </c>
      <c r="F11" s="83" t="n">
        <v>10</v>
      </c>
      <c r="G11" s="84" t="s">
        <v>340</v>
      </c>
    </row>
    <row r="12" customFormat="false" ht="30" hidden="false" customHeight="true" outlineLevel="0" collapsed="false">
      <c r="A12" s="47" t="s">
        <v>109</v>
      </c>
      <c r="B12" s="47" t="s">
        <v>126</v>
      </c>
      <c r="C12" s="47" t="s">
        <v>341</v>
      </c>
      <c r="D12" s="47" t="s">
        <v>342</v>
      </c>
      <c r="E12" s="57" t="n">
        <v>0</v>
      </c>
      <c r="F12" s="57" t="n">
        <v>0</v>
      </c>
      <c r="G12" s="81" t="s">
        <v>343</v>
      </c>
    </row>
    <row r="13" customFormat="false" ht="30" hidden="false" customHeight="true" outlineLevel="0" collapsed="false">
      <c r="A13" s="82" t="s">
        <v>134</v>
      </c>
      <c r="B13" s="82" t="s">
        <v>344</v>
      </c>
      <c r="C13" s="82" t="s">
        <v>345</v>
      </c>
      <c r="D13" s="82" t="s">
        <v>346</v>
      </c>
      <c r="E13" s="83" t="n">
        <v>60</v>
      </c>
      <c r="F13" s="83" t="n">
        <v>90</v>
      </c>
      <c r="G13" s="84" t="s">
        <v>347</v>
      </c>
    </row>
    <row r="14" customFormat="false" ht="30" hidden="false" customHeight="true" outlineLevel="0" collapsed="false">
      <c r="A14" s="47" t="s">
        <v>134</v>
      </c>
      <c r="B14" s="47" t="s">
        <v>348</v>
      </c>
      <c r="C14" s="47" t="s">
        <v>349</v>
      </c>
      <c r="D14" s="47" t="s">
        <v>350</v>
      </c>
      <c r="E14" s="46" t="n">
        <v>5</v>
      </c>
      <c r="F14" s="46" t="n">
        <v>12</v>
      </c>
      <c r="G14" s="81" t="s">
        <v>351</v>
      </c>
    </row>
    <row r="15" customFormat="false" ht="30" hidden="false" customHeight="true" outlineLevel="0" collapsed="false">
      <c r="A15" s="82" t="s">
        <v>134</v>
      </c>
      <c r="B15" s="82" t="s">
        <v>352</v>
      </c>
      <c r="C15" s="82" t="s">
        <v>353</v>
      </c>
      <c r="D15" s="82" t="s">
        <v>354</v>
      </c>
      <c r="E15" s="57" t="n">
        <v>0</v>
      </c>
      <c r="F15" s="57" t="n">
        <v>0</v>
      </c>
      <c r="G15" s="84" t="s">
        <v>355</v>
      </c>
    </row>
    <row r="16" customFormat="false" ht="30" hidden="false" customHeight="true" outlineLevel="0" collapsed="false">
      <c r="A16" s="47" t="s">
        <v>159</v>
      </c>
      <c r="B16" s="47" t="s">
        <v>168</v>
      </c>
      <c r="C16" s="47" t="s">
        <v>356</v>
      </c>
      <c r="D16" s="47" t="s">
        <v>357</v>
      </c>
      <c r="E16" s="57" t="n">
        <v>0</v>
      </c>
      <c r="F16" s="57" t="n">
        <v>0</v>
      </c>
      <c r="G16" s="81" t="s">
        <v>358</v>
      </c>
    </row>
    <row r="17" customFormat="false" ht="30" hidden="false" customHeight="true" outlineLevel="0" collapsed="false">
      <c r="A17" s="82" t="s">
        <v>159</v>
      </c>
      <c r="B17" s="82" t="s">
        <v>160</v>
      </c>
      <c r="C17" s="82" t="s">
        <v>359</v>
      </c>
      <c r="D17" s="82" t="s">
        <v>360</v>
      </c>
      <c r="E17" s="57" t="n">
        <v>0</v>
      </c>
      <c r="F17" s="57" t="n">
        <v>0</v>
      </c>
      <c r="G17" s="84" t="s">
        <v>361</v>
      </c>
    </row>
    <row r="18" customFormat="false" ht="30" hidden="false" customHeight="true" outlineLevel="0" collapsed="false">
      <c r="A18" s="47" t="s">
        <v>159</v>
      </c>
      <c r="B18" s="47" t="s">
        <v>362</v>
      </c>
      <c r="C18" s="47" t="s">
        <v>363</v>
      </c>
      <c r="D18" s="47" t="s">
        <v>364</v>
      </c>
      <c r="E18" s="57" t="n">
        <v>0</v>
      </c>
      <c r="F18" s="57" t="n">
        <v>0</v>
      </c>
      <c r="G18" s="81" t="s">
        <v>365</v>
      </c>
    </row>
    <row r="19" customFormat="false" ht="30" hidden="false" customHeight="true" outlineLevel="0" collapsed="false">
      <c r="A19" s="82" t="s">
        <v>159</v>
      </c>
      <c r="B19" s="82" t="s">
        <v>366</v>
      </c>
      <c r="C19" s="82" t="s">
        <v>367</v>
      </c>
      <c r="D19" s="82" t="s">
        <v>368</v>
      </c>
      <c r="E19" s="57" t="n">
        <v>0</v>
      </c>
      <c r="F19" s="57" t="n">
        <v>0</v>
      </c>
      <c r="G19" s="84" t="s">
        <v>369</v>
      </c>
    </row>
    <row r="20" customFormat="false" ht="30" hidden="false" customHeight="true" outlineLevel="0" collapsed="false">
      <c r="A20" s="47" t="s">
        <v>159</v>
      </c>
      <c r="B20" s="47" t="s">
        <v>370</v>
      </c>
      <c r="C20" s="47" t="s">
        <v>371</v>
      </c>
      <c r="D20" s="47" t="s">
        <v>372</v>
      </c>
      <c r="E20" s="57" t="n">
        <v>0</v>
      </c>
      <c r="F20" s="57" t="n">
        <v>0</v>
      </c>
      <c r="G20" s="81" t="s">
        <v>373</v>
      </c>
    </row>
    <row r="21" customFormat="false" ht="30" hidden="false" customHeight="true" outlineLevel="0" collapsed="false">
      <c r="A21" s="82" t="s">
        <v>159</v>
      </c>
      <c r="B21" s="82" t="s">
        <v>374</v>
      </c>
      <c r="C21" s="82" t="s">
        <v>375</v>
      </c>
      <c r="D21" s="82" t="s">
        <v>376</v>
      </c>
      <c r="E21" s="57" t="n">
        <v>0</v>
      </c>
      <c r="F21" s="57" t="n">
        <v>0</v>
      </c>
      <c r="G21" s="84" t="s">
        <v>377</v>
      </c>
    </row>
    <row r="22" customFormat="false" ht="30" hidden="false" customHeight="true" outlineLevel="0" collapsed="false">
      <c r="A22" s="47" t="s">
        <v>159</v>
      </c>
      <c r="B22" s="47" t="s">
        <v>378</v>
      </c>
      <c r="C22" s="47" t="s">
        <v>379</v>
      </c>
      <c r="D22" s="47" t="s">
        <v>380</v>
      </c>
      <c r="E22" s="57" t="n">
        <v>0</v>
      </c>
      <c r="F22" s="57" t="n">
        <v>0</v>
      </c>
      <c r="G22" s="81" t="s">
        <v>381</v>
      </c>
    </row>
    <row r="23" customFormat="false" ht="30" hidden="false" customHeight="true" outlineLevel="0" collapsed="false">
      <c r="A23" s="82" t="s">
        <v>159</v>
      </c>
      <c r="B23" s="82" t="s">
        <v>382</v>
      </c>
      <c r="C23" s="82" t="s">
        <v>383</v>
      </c>
      <c r="D23" s="82" t="s">
        <v>384</v>
      </c>
      <c r="E23" s="83" t="n">
        <v>1</v>
      </c>
      <c r="F23" s="83" t="n">
        <v>3</v>
      </c>
      <c r="G23" s="84" t="s">
        <v>385</v>
      </c>
    </row>
    <row r="24" customFormat="false" ht="30" hidden="false" customHeight="true" outlineLevel="0" collapsed="false">
      <c r="A24" s="47" t="s">
        <v>386</v>
      </c>
      <c r="B24" s="47" t="s">
        <v>387</v>
      </c>
      <c r="C24" s="47" t="s">
        <v>388</v>
      </c>
      <c r="D24" s="47" t="s">
        <v>389</v>
      </c>
      <c r="E24" s="46" t="n">
        <v>5</v>
      </c>
      <c r="F24" s="46" t="n">
        <v>10</v>
      </c>
      <c r="G24" s="81" t="s">
        <v>390</v>
      </c>
    </row>
    <row r="25" customFormat="false" ht="30" hidden="false" customHeight="true" outlineLevel="0" collapsed="false">
      <c r="A25" s="82" t="s">
        <v>386</v>
      </c>
      <c r="B25" s="82" t="s">
        <v>391</v>
      </c>
      <c r="C25" s="82" t="s">
        <v>392</v>
      </c>
      <c r="D25" s="82" t="s">
        <v>393</v>
      </c>
      <c r="E25" s="83" t="n">
        <v>5</v>
      </c>
      <c r="F25" s="83" t="n">
        <v>20</v>
      </c>
      <c r="G25" s="84" t="s">
        <v>394</v>
      </c>
    </row>
    <row r="26" customFormat="false" ht="30" hidden="false" customHeight="true" outlineLevel="0" collapsed="false">
      <c r="A26" s="47" t="s">
        <v>386</v>
      </c>
      <c r="B26" s="47" t="s">
        <v>395</v>
      </c>
      <c r="C26" s="47" t="s">
        <v>396</v>
      </c>
      <c r="D26" s="47" t="s">
        <v>397</v>
      </c>
      <c r="E26" s="46" t="n">
        <v>2</v>
      </c>
      <c r="F26" s="46" t="n">
        <v>8</v>
      </c>
      <c r="G26" s="81" t="s">
        <v>398</v>
      </c>
    </row>
    <row r="27" customFormat="false" ht="30" hidden="false" customHeight="true" outlineLevel="0" collapsed="false">
      <c r="A27" s="82" t="s">
        <v>386</v>
      </c>
      <c r="B27" s="82" t="s">
        <v>399</v>
      </c>
      <c r="C27" s="82" t="s">
        <v>400</v>
      </c>
      <c r="D27" s="82" t="s">
        <v>401</v>
      </c>
      <c r="E27" s="57" t="n">
        <v>0</v>
      </c>
      <c r="F27" s="57" t="n">
        <v>0</v>
      </c>
      <c r="G27" s="84" t="s">
        <v>402</v>
      </c>
    </row>
    <row r="28" customFormat="false" ht="30" hidden="false" customHeight="true" outlineLevel="0" collapsed="false">
      <c r="A28" s="47" t="s">
        <v>403</v>
      </c>
      <c r="B28" s="47" t="s">
        <v>404</v>
      </c>
      <c r="C28" s="47" t="s">
        <v>405</v>
      </c>
      <c r="D28" s="47" t="s">
        <v>406</v>
      </c>
      <c r="E28" s="46" t="n">
        <v>5</v>
      </c>
      <c r="F28" s="46" t="n">
        <v>15</v>
      </c>
      <c r="G28" s="81" t="s">
        <v>407</v>
      </c>
    </row>
    <row r="29" customFormat="false" ht="30" hidden="false" customHeight="true" outlineLevel="0" collapsed="false">
      <c r="A29" s="82" t="s">
        <v>403</v>
      </c>
      <c r="B29" s="82" t="s">
        <v>408</v>
      </c>
      <c r="C29" s="82" t="s">
        <v>409</v>
      </c>
      <c r="D29" s="82" t="s">
        <v>410</v>
      </c>
      <c r="E29" s="57" t="n">
        <v>0</v>
      </c>
      <c r="F29" s="57" t="n">
        <v>0</v>
      </c>
      <c r="G29" s="84" t="s">
        <v>411</v>
      </c>
    </row>
    <row r="30" customFormat="false" ht="30" hidden="false" customHeight="true" outlineLevel="0" collapsed="false">
      <c r="A30" s="47" t="s">
        <v>403</v>
      </c>
      <c r="B30" s="47" t="s">
        <v>412</v>
      </c>
      <c r="C30" s="47" t="s">
        <v>413</v>
      </c>
      <c r="D30" s="47" t="s">
        <v>414</v>
      </c>
      <c r="E30" s="57" t="n">
        <v>0</v>
      </c>
      <c r="F30" s="57" t="n">
        <v>0</v>
      </c>
      <c r="G30" s="81" t="s">
        <v>415</v>
      </c>
    </row>
    <row r="31" customFormat="false" ht="30" hidden="false" customHeight="true" outlineLevel="0" collapsed="false">
      <c r="A31" s="82" t="s">
        <v>287</v>
      </c>
      <c r="B31" s="82" t="s">
        <v>416</v>
      </c>
      <c r="C31" s="82" t="s">
        <v>417</v>
      </c>
      <c r="D31" s="82" t="s">
        <v>418</v>
      </c>
      <c r="E31" s="57" t="n">
        <v>0</v>
      </c>
      <c r="F31" s="83" t="n">
        <v>100</v>
      </c>
      <c r="G31" s="84" t="s">
        <v>419</v>
      </c>
    </row>
    <row r="32" customFormat="false" ht="15" hidden="false" customHeight="false" outlineLevel="0" collapsed="false">
      <c r="A32" s="85" t="s">
        <v>420</v>
      </c>
      <c r="B32" s="85"/>
      <c r="C32" s="85"/>
      <c r="D32" s="85"/>
      <c r="E32" s="86" t="n">
        <f aca="false">SUM(E4:E31)</f>
        <v>188</v>
      </c>
      <c r="F32" s="86" t="n">
        <f aca="false">SUM(F4:F31)</f>
        <v>458</v>
      </c>
      <c r="G32" s="87" t="s">
        <v>421</v>
      </c>
    </row>
  </sheetData>
  <mergeCells count="3">
    <mergeCell ref="A1:G1"/>
    <mergeCell ref="A2:G2"/>
    <mergeCell ref="A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6" min="5" style="0" width="9"/>
    <col collapsed="false" customWidth="true" hidden="false" outlineLevel="0" max="7" min="7" style="0" width="50"/>
  </cols>
  <sheetData>
    <row r="1" customFormat="false" ht="27.75" hidden="false" customHeight="true" outlineLevel="0" collapsed="false">
      <c r="A1" s="88" t="s">
        <v>422</v>
      </c>
      <c r="B1" s="88"/>
      <c r="C1" s="88"/>
      <c r="D1" s="88"/>
      <c r="E1" s="88"/>
      <c r="F1" s="88"/>
      <c r="G1" s="88"/>
    </row>
    <row r="2" customFormat="false" ht="15" hidden="false" customHeight="false" outlineLevel="0" collapsed="false">
      <c r="A2" s="89" t="s">
        <v>423</v>
      </c>
      <c r="B2" s="89"/>
      <c r="C2" s="89"/>
      <c r="D2" s="89"/>
      <c r="E2" s="89"/>
      <c r="F2" s="89"/>
      <c r="G2" s="89"/>
    </row>
    <row r="3" customFormat="false" ht="15" hidden="false" customHeight="false" outlineLevel="0" collapsed="false">
      <c r="A3" s="90" t="s">
        <v>47</v>
      </c>
      <c r="B3" s="90" t="s">
        <v>304</v>
      </c>
      <c r="C3" s="90" t="s">
        <v>424</v>
      </c>
      <c r="D3" s="90" t="s">
        <v>306</v>
      </c>
      <c r="E3" s="90" t="s">
        <v>52</v>
      </c>
      <c r="F3" s="90" t="s">
        <v>53</v>
      </c>
      <c r="G3" s="90" t="s">
        <v>307</v>
      </c>
    </row>
    <row r="4" customFormat="false" ht="30" hidden="false" customHeight="true" outlineLevel="0" collapsed="false">
      <c r="A4" s="49" t="s">
        <v>308</v>
      </c>
      <c r="B4" s="49" t="s">
        <v>56</v>
      </c>
      <c r="C4" s="49" t="s">
        <v>425</v>
      </c>
      <c r="D4" s="49" t="s">
        <v>426</v>
      </c>
      <c r="E4" s="48" t="n">
        <v>20</v>
      </c>
      <c r="F4" s="48" t="n">
        <v>20</v>
      </c>
      <c r="G4" s="91" t="s">
        <v>427</v>
      </c>
    </row>
    <row r="5" customFormat="false" ht="30" hidden="false" customHeight="true" outlineLevel="0" collapsed="false">
      <c r="A5" s="82" t="s">
        <v>308</v>
      </c>
      <c r="B5" s="82" t="s">
        <v>313</v>
      </c>
      <c r="C5" s="82" t="s">
        <v>428</v>
      </c>
      <c r="D5" s="82" t="s">
        <v>429</v>
      </c>
      <c r="E5" s="57" t="n">
        <v>0</v>
      </c>
      <c r="F5" s="57" t="n">
        <v>0</v>
      </c>
      <c r="G5" s="84" t="s">
        <v>430</v>
      </c>
    </row>
    <row r="6" customFormat="false" ht="30" hidden="false" customHeight="true" outlineLevel="0" collapsed="false">
      <c r="A6" s="49" t="s">
        <v>308</v>
      </c>
      <c r="B6" s="49" t="s">
        <v>75</v>
      </c>
      <c r="C6" s="49" t="s">
        <v>431</v>
      </c>
      <c r="D6" s="49" t="s">
        <v>432</v>
      </c>
      <c r="E6" s="57" t="n">
        <v>0</v>
      </c>
      <c r="F6" s="57" t="n">
        <v>0</v>
      </c>
      <c r="G6" s="91" t="s">
        <v>433</v>
      </c>
    </row>
    <row r="7" customFormat="false" ht="30" hidden="false" customHeight="true" outlineLevel="0" collapsed="false">
      <c r="A7" s="82" t="s">
        <v>308</v>
      </c>
      <c r="B7" s="82" t="s">
        <v>321</v>
      </c>
      <c r="C7" s="82" t="s">
        <v>434</v>
      </c>
      <c r="D7" s="82" t="s">
        <v>435</v>
      </c>
      <c r="E7" s="57" t="n">
        <v>0</v>
      </c>
      <c r="F7" s="57" t="n">
        <v>0</v>
      </c>
      <c r="G7" s="84" t="s">
        <v>436</v>
      </c>
    </row>
    <row r="8" customFormat="false" ht="30" hidden="false" customHeight="true" outlineLevel="0" collapsed="false">
      <c r="A8" s="49" t="s">
        <v>325</v>
      </c>
      <c r="B8" s="49" t="s">
        <v>326</v>
      </c>
      <c r="C8" s="49" t="s">
        <v>437</v>
      </c>
      <c r="D8" s="49" t="s">
        <v>438</v>
      </c>
      <c r="E8" s="48" t="n">
        <v>6</v>
      </c>
      <c r="F8" s="48" t="n">
        <v>12</v>
      </c>
      <c r="G8" s="91" t="s">
        <v>439</v>
      </c>
    </row>
    <row r="9" customFormat="false" ht="30" hidden="false" customHeight="true" outlineLevel="0" collapsed="false">
      <c r="A9" s="82" t="s">
        <v>325</v>
      </c>
      <c r="B9" s="82" t="s">
        <v>440</v>
      </c>
      <c r="C9" s="82" t="s">
        <v>441</v>
      </c>
      <c r="D9" s="82" t="s">
        <v>442</v>
      </c>
      <c r="E9" s="57" t="n">
        <v>0</v>
      </c>
      <c r="F9" s="57" t="n">
        <v>0</v>
      </c>
      <c r="G9" s="84" t="s">
        <v>443</v>
      </c>
    </row>
    <row r="10" customFormat="false" ht="30" hidden="false" customHeight="true" outlineLevel="0" collapsed="false">
      <c r="A10" s="49" t="s">
        <v>109</v>
      </c>
      <c r="B10" s="49" t="s">
        <v>334</v>
      </c>
      <c r="C10" s="49" t="s">
        <v>444</v>
      </c>
      <c r="D10" s="49" t="s">
        <v>445</v>
      </c>
      <c r="E10" s="48" t="n">
        <v>96</v>
      </c>
      <c r="F10" s="48" t="n">
        <v>96</v>
      </c>
      <c r="G10" s="91" t="s">
        <v>446</v>
      </c>
    </row>
    <row r="11" customFormat="false" ht="30" hidden="false" customHeight="true" outlineLevel="0" collapsed="false">
      <c r="A11" s="82" t="s">
        <v>109</v>
      </c>
      <c r="B11" s="82" t="s">
        <v>118</v>
      </c>
      <c r="C11" s="82" t="s">
        <v>447</v>
      </c>
      <c r="D11" s="82" t="s">
        <v>448</v>
      </c>
      <c r="E11" s="92" t="n">
        <v>5</v>
      </c>
      <c r="F11" s="92" t="n">
        <v>5</v>
      </c>
      <c r="G11" s="84" t="s">
        <v>449</v>
      </c>
    </row>
    <row r="12" customFormat="false" ht="30" hidden="false" customHeight="true" outlineLevel="0" collapsed="false">
      <c r="A12" s="49" t="s">
        <v>109</v>
      </c>
      <c r="B12" s="49" t="s">
        <v>126</v>
      </c>
      <c r="C12" s="49" t="s">
        <v>450</v>
      </c>
      <c r="D12" s="49" t="s">
        <v>451</v>
      </c>
      <c r="E12" s="57" t="n">
        <v>0</v>
      </c>
      <c r="F12" s="57" t="n">
        <v>0</v>
      </c>
      <c r="G12" s="91" t="s">
        <v>452</v>
      </c>
    </row>
    <row r="13" customFormat="false" ht="30" hidden="false" customHeight="true" outlineLevel="0" collapsed="false">
      <c r="A13" s="82" t="s">
        <v>134</v>
      </c>
      <c r="B13" s="82" t="s">
        <v>344</v>
      </c>
      <c r="C13" s="82" t="s">
        <v>453</v>
      </c>
      <c r="D13" s="82" t="s">
        <v>454</v>
      </c>
      <c r="E13" s="92" t="n">
        <v>80</v>
      </c>
      <c r="F13" s="92" t="n">
        <v>120</v>
      </c>
      <c r="G13" s="84" t="s">
        <v>455</v>
      </c>
    </row>
    <row r="14" customFormat="false" ht="30" hidden="false" customHeight="true" outlineLevel="0" collapsed="false">
      <c r="A14" s="49" t="s">
        <v>134</v>
      </c>
      <c r="B14" s="49" t="s">
        <v>348</v>
      </c>
      <c r="C14" s="49" t="s">
        <v>456</v>
      </c>
      <c r="D14" s="49" t="s">
        <v>457</v>
      </c>
      <c r="E14" s="48" t="n">
        <v>16</v>
      </c>
      <c r="F14" s="48" t="n">
        <v>24</v>
      </c>
      <c r="G14" s="91" t="s">
        <v>458</v>
      </c>
    </row>
    <row r="15" customFormat="false" ht="30" hidden="false" customHeight="true" outlineLevel="0" collapsed="false">
      <c r="A15" s="82" t="s">
        <v>134</v>
      </c>
      <c r="B15" s="82" t="s">
        <v>352</v>
      </c>
      <c r="C15" s="82" t="s">
        <v>459</v>
      </c>
      <c r="D15" s="82" t="s">
        <v>460</v>
      </c>
      <c r="E15" s="57" t="n">
        <v>0</v>
      </c>
      <c r="F15" s="57" t="n">
        <v>0</v>
      </c>
      <c r="G15" s="84" t="s">
        <v>461</v>
      </c>
    </row>
    <row r="16" customFormat="false" ht="30" hidden="false" customHeight="true" outlineLevel="0" collapsed="false">
      <c r="A16" s="49" t="s">
        <v>159</v>
      </c>
      <c r="B16" s="49" t="s">
        <v>160</v>
      </c>
      <c r="C16" s="49" t="s">
        <v>462</v>
      </c>
      <c r="D16" s="49" t="s">
        <v>463</v>
      </c>
      <c r="E16" s="48" t="n">
        <v>12</v>
      </c>
      <c r="F16" s="48" t="n">
        <v>12</v>
      </c>
      <c r="G16" s="91" t="s">
        <v>464</v>
      </c>
    </row>
    <row r="17" customFormat="false" ht="30" hidden="false" customHeight="true" outlineLevel="0" collapsed="false">
      <c r="A17" s="82" t="s">
        <v>159</v>
      </c>
      <c r="B17" s="82" t="s">
        <v>168</v>
      </c>
      <c r="C17" s="82" t="s">
        <v>465</v>
      </c>
      <c r="D17" s="82" t="s">
        <v>466</v>
      </c>
      <c r="E17" s="57" t="n">
        <v>0</v>
      </c>
      <c r="F17" s="57" t="n">
        <v>0</v>
      </c>
      <c r="G17" s="84" t="s">
        <v>467</v>
      </c>
    </row>
    <row r="18" customFormat="false" ht="30" hidden="false" customHeight="true" outlineLevel="0" collapsed="false">
      <c r="A18" s="49" t="s">
        <v>159</v>
      </c>
      <c r="B18" s="49" t="s">
        <v>362</v>
      </c>
      <c r="C18" s="49" t="s">
        <v>468</v>
      </c>
      <c r="D18" s="49" t="s">
        <v>469</v>
      </c>
      <c r="E18" s="57" t="n">
        <v>0</v>
      </c>
      <c r="F18" s="57" t="n">
        <v>0</v>
      </c>
      <c r="G18" s="91" t="s">
        <v>470</v>
      </c>
    </row>
    <row r="19" customFormat="false" ht="30" hidden="false" customHeight="true" outlineLevel="0" collapsed="false">
      <c r="A19" s="82" t="s">
        <v>159</v>
      </c>
      <c r="B19" s="82" t="s">
        <v>471</v>
      </c>
      <c r="C19" s="82" t="s">
        <v>472</v>
      </c>
      <c r="D19" s="82" t="s">
        <v>473</v>
      </c>
      <c r="E19" s="57" t="n">
        <v>0</v>
      </c>
      <c r="F19" s="57" t="n">
        <v>0</v>
      </c>
      <c r="G19" s="84" t="s">
        <v>474</v>
      </c>
    </row>
    <row r="20" customFormat="false" ht="30" hidden="false" customHeight="true" outlineLevel="0" collapsed="false">
      <c r="A20" s="49" t="s">
        <v>159</v>
      </c>
      <c r="B20" s="49" t="s">
        <v>370</v>
      </c>
      <c r="C20" s="49" t="s">
        <v>475</v>
      </c>
      <c r="D20" s="49" t="s">
        <v>476</v>
      </c>
      <c r="E20" s="57" t="n">
        <v>0</v>
      </c>
      <c r="F20" s="57" t="n">
        <v>0</v>
      </c>
      <c r="G20" s="91" t="s">
        <v>477</v>
      </c>
    </row>
    <row r="21" customFormat="false" ht="30" hidden="false" customHeight="true" outlineLevel="0" collapsed="false">
      <c r="A21" s="82" t="s">
        <v>159</v>
      </c>
      <c r="B21" s="82" t="s">
        <v>374</v>
      </c>
      <c r="C21" s="82" t="s">
        <v>478</v>
      </c>
      <c r="D21" s="82" t="s">
        <v>479</v>
      </c>
      <c r="E21" s="57" t="n">
        <v>0</v>
      </c>
      <c r="F21" s="92" t="n">
        <v>10</v>
      </c>
      <c r="G21" s="84" t="s">
        <v>480</v>
      </c>
    </row>
    <row r="22" customFormat="false" ht="30" hidden="false" customHeight="true" outlineLevel="0" collapsed="false">
      <c r="A22" s="49" t="s">
        <v>159</v>
      </c>
      <c r="B22" s="49" t="s">
        <v>481</v>
      </c>
      <c r="C22" s="49" t="s">
        <v>482</v>
      </c>
      <c r="D22" s="49" t="s">
        <v>483</v>
      </c>
      <c r="E22" s="48" t="n">
        <v>5</v>
      </c>
      <c r="F22" s="48" t="n">
        <v>5</v>
      </c>
      <c r="G22" s="91" t="s">
        <v>484</v>
      </c>
    </row>
    <row r="23" customFormat="false" ht="30" hidden="false" customHeight="true" outlineLevel="0" collapsed="false">
      <c r="A23" s="82" t="s">
        <v>159</v>
      </c>
      <c r="B23" s="82" t="s">
        <v>382</v>
      </c>
      <c r="C23" s="82" t="s">
        <v>485</v>
      </c>
      <c r="D23" s="82" t="s">
        <v>486</v>
      </c>
      <c r="E23" s="57" t="n">
        <v>0</v>
      </c>
      <c r="F23" s="57" t="n">
        <v>0</v>
      </c>
      <c r="G23" s="84" t="s">
        <v>487</v>
      </c>
    </row>
    <row r="24" customFormat="false" ht="30" hidden="false" customHeight="true" outlineLevel="0" collapsed="false">
      <c r="A24" s="49" t="s">
        <v>386</v>
      </c>
      <c r="B24" s="49" t="s">
        <v>387</v>
      </c>
      <c r="C24" s="49" t="s">
        <v>488</v>
      </c>
      <c r="D24" s="49" t="s">
        <v>489</v>
      </c>
      <c r="E24" s="48" t="n">
        <v>6</v>
      </c>
      <c r="F24" s="48" t="n">
        <v>12</v>
      </c>
      <c r="G24" s="91" t="s">
        <v>490</v>
      </c>
    </row>
    <row r="25" customFormat="false" ht="30" hidden="false" customHeight="true" outlineLevel="0" collapsed="false">
      <c r="A25" s="82" t="s">
        <v>386</v>
      </c>
      <c r="B25" s="82" t="s">
        <v>391</v>
      </c>
      <c r="C25" s="82" t="s">
        <v>491</v>
      </c>
      <c r="D25" s="82" t="s">
        <v>492</v>
      </c>
      <c r="E25" s="92" t="n">
        <v>7</v>
      </c>
      <c r="F25" s="92" t="n">
        <v>20</v>
      </c>
      <c r="G25" s="84" t="s">
        <v>493</v>
      </c>
    </row>
    <row r="26" customFormat="false" ht="30" hidden="false" customHeight="true" outlineLevel="0" collapsed="false">
      <c r="A26" s="49" t="s">
        <v>386</v>
      </c>
      <c r="B26" s="49" t="s">
        <v>395</v>
      </c>
      <c r="C26" s="49" t="s">
        <v>494</v>
      </c>
      <c r="D26" s="49" t="s">
        <v>495</v>
      </c>
      <c r="E26" s="48" t="n">
        <v>2</v>
      </c>
      <c r="F26" s="48" t="n">
        <v>8</v>
      </c>
      <c r="G26" s="91" t="s">
        <v>496</v>
      </c>
    </row>
    <row r="27" customFormat="false" ht="30" hidden="false" customHeight="true" outlineLevel="0" collapsed="false">
      <c r="A27" s="82" t="s">
        <v>386</v>
      </c>
      <c r="B27" s="82" t="s">
        <v>399</v>
      </c>
      <c r="C27" s="82" t="s">
        <v>497</v>
      </c>
      <c r="D27" s="82" t="s">
        <v>498</v>
      </c>
      <c r="E27" s="57" t="n">
        <v>0</v>
      </c>
      <c r="F27" s="57" t="n">
        <v>0</v>
      </c>
      <c r="G27" s="84" t="s">
        <v>499</v>
      </c>
    </row>
    <row r="28" customFormat="false" ht="30" hidden="false" customHeight="true" outlineLevel="0" collapsed="false">
      <c r="A28" s="49" t="s">
        <v>403</v>
      </c>
      <c r="B28" s="49" t="s">
        <v>500</v>
      </c>
      <c r="C28" s="49" t="s">
        <v>501</v>
      </c>
      <c r="D28" s="49" t="s">
        <v>502</v>
      </c>
      <c r="E28" s="57" t="n">
        <v>0</v>
      </c>
      <c r="F28" s="48" t="n">
        <v>20</v>
      </c>
      <c r="G28" s="91" t="s">
        <v>503</v>
      </c>
    </row>
    <row r="29" customFormat="false" ht="30" hidden="false" customHeight="true" outlineLevel="0" collapsed="false">
      <c r="A29" s="82" t="s">
        <v>403</v>
      </c>
      <c r="B29" s="82" t="s">
        <v>408</v>
      </c>
      <c r="C29" s="82" t="s">
        <v>504</v>
      </c>
      <c r="D29" s="82" t="s">
        <v>505</v>
      </c>
      <c r="E29" s="57" t="n">
        <v>0</v>
      </c>
      <c r="F29" s="57" t="n">
        <v>0</v>
      </c>
      <c r="G29" s="84" t="s">
        <v>506</v>
      </c>
    </row>
    <row r="30" customFormat="false" ht="30" hidden="false" customHeight="true" outlineLevel="0" collapsed="false">
      <c r="A30" s="49" t="s">
        <v>403</v>
      </c>
      <c r="B30" s="49" t="s">
        <v>507</v>
      </c>
      <c r="C30" s="49" t="s">
        <v>508</v>
      </c>
      <c r="D30" s="49" t="s">
        <v>509</v>
      </c>
      <c r="E30" s="57" t="n">
        <v>0</v>
      </c>
      <c r="F30" s="57" t="n">
        <v>0</v>
      </c>
      <c r="G30" s="91" t="s">
        <v>510</v>
      </c>
    </row>
    <row r="31" customFormat="false" ht="30" hidden="false" customHeight="true" outlineLevel="0" collapsed="false">
      <c r="A31" s="82" t="s">
        <v>287</v>
      </c>
      <c r="B31" s="82" t="s">
        <v>416</v>
      </c>
      <c r="C31" s="82" t="s">
        <v>511</v>
      </c>
      <c r="D31" s="82" t="s">
        <v>512</v>
      </c>
      <c r="E31" s="57" t="n">
        <v>0</v>
      </c>
      <c r="F31" s="92" t="n">
        <v>50</v>
      </c>
      <c r="G31" s="84" t="s">
        <v>513</v>
      </c>
    </row>
    <row r="32" customFormat="false" ht="15" hidden="false" customHeight="false" outlineLevel="0" collapsed="false">
      <c r="A32" s="93" t="s">
        <v>514</v>
      </c>
      <c r="B32" s="93"/>
      <c r="C32" s="93"/>
      <c r="D32" s="93"/>
      <c r="E32" s="94" t="n">
        <f aca="false">SUM(E4:E31)</f>
        <v>255</v>
      </c>
      <c r="F32" s="94" t="n">
        <f aca="false">SUM(F4:F31)</f>
        <v>414</v>
      </c>
      <c r="G32" s="87" t="s">
        <v>515</v>
      </c>
    </row>
  </sheetData>
  <mergeCells count="3">
    <mergeCell ref="A1:G1"/>
    <mergeCell ref="A2:G2"/>
    <mergeCell ref="A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7" min="2" style="0" width="18"/>
    <col collapsed="false" customWidth="true" hidden="false" outlineLevel="0" max="8" min="8" style="0" width="40"/>
  </cols>
  <sheetData>
    <row r="1" customFormat="false" ht="27.75" hidden="false" customHeight="true" outlineLevel="0" collapsed="false">
      <c r="A1" s="31" t="s">
        <v>516</v>
      </c>
      <c r="B1" s="31"/>
      <c r="C1" s="31"/>
      <c r="D1" s="31"/>
      <c r="E1" s="31"/>
      <c r="F1" s="31"/>
      <c r="G1" s="31"/>
      <c r="H1" s="31"/>
    </row>
    <row r="2" customFormat="false" ht="27.75" hidden="false" customHeight="true" outlineLevel="0" collapsed="false">
      <c r="A2" s="95" t="s">
        <v>517</v>
      </c>
      <c r="B2" s="96" t="s">
        <v>518</v>
      </c>
      <c r="C2" s="97" t="s">
        <v>519</v>
      </c>
      <c r="D2" s="80" t="s">
        <v>520</v>
      </c>
      <c r="E2" s="90" t="s">
        <v>521</v>
      </c>
      <c r="F2" s="98" t="s">
        <v>522</v>
      </c>
      <c r="G2" s="99" t="s">
        <v>523</v>
      </c>
      <c r="H2" s="95" t="s">
        <v>54</v>
      </c>
    </row>
    <row r="3" customFormat="false" ht="27.75" hidden="false" customHeight="true" outlineLevel="0" collapsed="false">
      <c r="A3" s="100" t="s">
        <v>524</v>
      </c>
      <c r="B3" s="101" t="s">
        <v>525</v>
      </c>
      <c r="C3" s="101" t="s">
        <v>525</v>
      </c>
      <c r="D3" s="101" t="s">
        <v>525</v>
      </c>
      <c r="E3" s="101" t="s">
        <v>525</v>
      </c>
      <c r="F3" s="101" t="s">
        <v>525</v>
      </c>
      <c r="G3" s="101" t="s">
        <v>525</v>
      </c>
      <c r="H3" s="102" t="s">
        <v>526</v>
      </c>
    </row>
    <row r="4" customFormat="false" ht="27.75" hidden="false" customHeight="true" outlineLevel="0" collapsed="false">
      <c r="A4" s="54" t="s">
        <v>527</v>
      </c>
      <c r="B4" s="101" t="s">
        <v>528</v>
      </c>
      <c r="C4" s="101" t="s">
        <v>529</v>
      </c>
      <c r="D4" s="101" t="s">
        <v>530</v>
      </c>
      <c r="E4" s="101" t="s">
        <v>531</v>
      </c>
      <c r="F4" s="101" t="s">
        <v>532</v>
      </c>
      <c r="G4" s="101" t="s">
        <v>533</v>
      </c>
      <c r="H4" s="102" t="s">
        <v>534</v>
      </c>
    </row>
    <row r="5" customFormat="false" ht="27.75" hidden="false" customHeight="true" outlineLevel="0" collapsed="false">
      <c r="A5" s="100" t="s">
        <v>321</v>
      </c>
      <c r="B5" s="101" t="s">
        <v>535</v>
      </c>
      <c r="C5" s="101" t="s">
        <v>536</v>
      </c>
      <c r="D5" s="101" t="s">
        <v>537</v>
      </c>
      <c r="E5" s="101" t="s">
        <v>538</v>
      </c>
      <c r="F5" s="101" t="s">
        <v>539</v>
      </c>
      <c r="G5" s="101" t="s">
        <v>537</v>
      </c>
      <c r="H5" s="102" t="s">
        <v>540</v>
      </c>
    </row>
    <row r="6" customFormat="false" ht="27.75" hidden="false" customHeight="true" outlineLevel="0" collapsed="false">
      <c r="A6" s="54" t="s">
        <v>541</v>
      </c>
      <c r="B6" s="101" t="s">
        <v>542</v>
      </c>
      <c r="C6" s="101" t="s">
        <v>543</v>
      </c>
      <c r="D6" s="101" t="s">
        <v>542</v>
      </c>
      <c r="E6" s="101" t="s">
        <v>544</v>
      </c>
      <c r="F6" s="101" t="s">
        <v>545</v>
      </c>
      <c r="G6" s="101" t="s">
        <v>546</v>
      </c>
      <c r="H6" s="102" t="s">
        <v>547</v>
      </c>
    </row>
    <row r="7" customFormat="false" ht="27.75" hidden="false" customHeight="true" outlineLevel="0" collapsed="false">
      <c r="A7" s="100" t="s">
        <v>548</v>
      </c>
      <c r="B7" s="101" t="s">
        <v>549</v>
      </c>
      <c r="C7" s="101" t="s">
        <v>549</v>
      </c>
      <c r="D7" s="101" t="s">
        <v>549</v>
      </c>
      <c r="E7" s="101" t="s">
        <v>549</v>
      </c>
      <c r="F7" s="101" t="s">
        <v>549</v>
      </c>
      <c r="G7" s="101" t="s">
        <v>549</v>
      </c>
      <c r="H7" s="102" t="s">
        <v>550</v>
      </c>
    </row>
    <row r="8" customFormat="false" ht="27.75" hidden="false" customHeight="true" outlineLevel="0" collapsed="false">
      <c r="A8" s="54" t="s">
        <v>551</v>
      </c>
      <c r="B8" s="101" t="s">
        <v>552</v>
      </c>
      <c r="C8" s="101" t="s">
        <v>553</v>
      </c>
      <c r="D8" s="101" t="s">
        <v>554</v>
      </c>
      <c r="E8" s="103" t="s">
        <v>555</v>
      </c>
      <c r="F8" s="101" t="s">
        <v>556</v>
      </c>
      <c r="G8" s="101" t="s">
        <v>557</v>
      </c>
      <c r="H8" s="102" t="s">
        <v>558</v>
      </c>
    </row>
    <row r="9" customFormat="false" ht="27.75" hidden="false" customHeight="true" outlineLevel="0" collapsed="false">
      <c r="A9" s="100" t="s">
        <v>559</v>
      </c>
      <c r="B9" s="101" t="s">
        <v>560</v>
      </c>
      <c r="C9" s="101" t="s">
        <v>560</v>
      </c>
      <c r="D9" s="101" t="s">
        <v>561</v>
      </c>
      <c r="E9" s="101" t="s">
        <v>562</v>
      </c>
      <c r="F9" s="101" t="s">
        <v>563</v>
      </c>
      <c r="G9" s="101" t="s">
        <v>564</v>
      </c>
      <c r="H9" s="102" t="s">
        <v>565</v>
      </c>
    </row>
    <row r="10" customFormat="false" ht="27.75" hidden="false" customHeight="true" outlineLevel="0" collapsed="false">
      <c r="A10" s="54" t="s">
        <v>566</v>
      </c>
      <c r="B10" s="101" t="s">
        <v>567</v>
      </c>
      <c r="C10" s="101" t="s">
        <v>543</v>
      </c>
      <c r="D10" s="101" t="s">
        <v>568</v>
      </c>
      <c r="E10" s="103" t="s">
        <v>569</v>
      </c>
      <c r="F10" s="101" t="s">
        <v>570</v>
      </c>
      <c r="G10" s="101" t="s">
        <v>571</v>
      </c>
      <c r="H10" s="102" t="s">
        <v>572</v>
      </c>
    </row>
    <row r="11" customFormat="false" ht="27.75" hidden="false" customHeight="true" outlineLevel="0" collapsed="false">
      <c r="A11" s="100" t="s">
        <v>573</v>
      </c>
      <c r="B11" s="101" t="s">
        <v>574</v>
      </c>
      <c r="C11" s="101" t="s">
        <v>574</v>
      </c>
      <c r="D11" s="101" t="s">
        <v>575</v>
      </c>
      <c r="E11" s="101" t="s">
        <v>576</v>
      </c>
      <c r="F11" s="101" t="s">
        <v>577</v>
      </c>
      <c r="G11" s="101" t="s">
        <v>577</v>
      </c>
      <c r="H11" s="102" t="s">
        <v>578</v>
      </c>
    </row>
    <row r="12" customFormat="false" ht="27.75" hidden="false" customHeight="true" outlineLevel="0" collapsed="false">
      <c r="A12" s="54" t="s">
        <v>579</v>
      </c>
      <c r="B12" s="101" t="s">
        <v>580</v>
      </c>
      <c r="C12" s="101" t="s">
        <v>580</v>
      </c>
      <c r="D12" s="101" t="s">
        <v>581</v>
      </c>
      <c r="E12" s="103" t="s">
        <v>582</v>
      </c>
      <c r="F12" s="101" t="s">
        <v>583</v>
      </c>
      <c r="G12" s="101" t="s">
        <v>584</v>
      </c>
      <c r="H12" s="102" t="s">
        <v>585</v>
      </c>
    </row>
    <row r="13" customFormat="false" ht="27.75" hidden="false" customHeight="true" outlineLevel="0" collapsed="false">
      <c r="A13" s="100" t="s">
        <v>586</v>
      </c>
      <c r="B13" s="101" t="s">
        <v>587</v>
      </c>
      <c r="C13" s="101" t="s">
        <v>587</v>
      </c>
      <c r="D13" s="101" t="s">
        <v>587</v>
      </c>
      <c r="E13" s="101" t="s">
        <v>587</v>
      </c>
      <c r="F13" s="101" t="s">
        <v>587</v>
      </c>
      <c r="G13" s="101" t="s">
        <v>587</v>
      </c>
      <c r="H13" s="102" t="s">
        <v>588</v>
      </c>
    </row>
    <row r="14" customFormat="false" ht="27.75" hidden="false" customHeight="true" outlineLevel="0" collapsed="false">
      <c r="A14" s="54" t="s">
        <v>589</v>
      </c>
      <c r="B14" s="101" t="s">
        <v>590</v>
      </c>
      <c r="C14" s="101" t="s">
        <v>590</v>
      </c>
      <c r="D14" s="101" t="s">
        <v>591</v>
      </c>
      <c r="E14" s="103" t="s">
        <v>592</v>
      </c>
      <c r="F14" s="101" t="s">
        <v>593</v>
      </c>
      <c r="G14" s="101" t="s">
        <v>594</v>
      </c>
      <c r="H14" s="102" t="s">
        <v>595</v>
      </c>
    </row>
    <row r="15" customFormat="false" ht="27.75" hidden="false" customHeight="true" outlineLevel="0" collapsed="false">
      <c r="A15" s="100" t="s">
        <v>596</v>
      </c>
      <c r="B15" s="101" t="s">
        <v>597</v>
      </c>
      <c r="C15" s="101" t="s">
        <v>598</v>
      </c>
      <c r="D15" s="101" t="s">
        <v>599</v>
      </c>
      <c r="E15" s="103" t="s">
        <v>600</v>
      </c>
      <c r="F15" s="101" t="s">
        <v>35</v>
      </c>
      <c r="G15" s="101" t="s">
        <v>601</v>
      </c>
      <c r="H15" s="102" t="s">
        <v>602</v>
      </c>
    </row>
    <row r="16" customFormat="false" ht="27.75" hidden="false" customHeight="true" outlineLevel="0" collapsed="false">
      <c r="A16" s="54" t="s">
        <v>603</v>
      </c>
      <c r="B16" s="101" t="s">
        <v>604</v>
      </c>
      <c r="C16" s="101" t="s">
        <v>529</v>
      </c>
      <c r="D16" s="101" t="s">
        <v>605</v>
      </c>
      <c r="E16" s="101" t="s">
        <v>605</v>
      </c>
      <c r="F16" s="101" t="s">
        <v>606</v>
      </c>
      <c r="G16" s="101" t="s">
        <v>607</v>
      </c>
      <c r="H16" s="102" t="s">
        <v>608</v>
      </c>
    </row>
    <row r="17" customFormat="false" ht="27.75" hidden="false" customHeight="true" outlineLevel="0" collapsed="false">
      <c r="A17" s="100" t="s">
        <v>609</v>
      </c>
      <c r="B17" s="101" t="s">
        <v>610</v>
      </c>
      <c r="C17" s="101" t="s">
        <v>611</v>
      </c>
      <c r="D17" s="101" t="s">
        <v>612</v>
      </c>
      <c r="E17" s="101" t="s">
        <v>613</v>
      </c>
      <c r="F17" s="101" t="s">
        <v>614</v>
      </c>
      <c r="G17" s="101" t="s">
        <v>615</v>
      </c>
      <c r="H17" s="102" t="s">
        <v>616</v>
      </c>
    </row>
    <row r="18" customFormat="false" ht="27.75" hidden="false" customHeight="true" outlineLevel="0" collapsed="false">
      <c r="A18" s="54" t="s">
        <v>617</v>
      </c>
      <c r="B18" s="101" t="s">
        <v>618</v>
      </c>
      <c r="C18" s="103" t="s">
        <v>619</v>
      </c>
      <c r="D18" s="103" t="s">
        <v>620</v>
      </c>
      <c r="E18" s="103" t="s">
        <v>621</v>
      </c>
      <c r="F18" s="101" t="s">
        <v>622</v>
      </c>
      <c r="G18" s="101" t="s">
        <v>623</v>
      </c>
      <c r="H18" s="102" t="s">
        <v>624</v>
      </c>
    </row>
    <row r="19" customFormat="false" ht="27.75" hidden="false" customHeight="true" outlineLevel="0" collapsed="false">
      <c r="A19" s="100" t="s">
        <v>625</v>
      </c>
      <c r="B19" s="101" t="s">
        <v>525</v>
      </c>
      <c r="C19" s="101" t="s">
        <v>525</v>
      </c>
      <c r="D19" s="101" t="s">
        <v>525</v>
      </c>
      <c r="E19" s="101" t="s">
        <v>525</v>
      </c>
      <c r="F19" s="101" t="s">
        <v>525</v>
      </c>
      <c r="G19" s="101" t="s">
        <v>525</v>
      </c>
      <c r="H19" s="102" t="s">
        <v>626</v>
      </c>
    </row>
    <row r="20" customFormat="false" ht="27.75" hidden="false" customHeight="true" outlineLevel="0" collapsed="false">
      <c r="A20" s="54" t="s">
        <v>627</v>
      </c>
      <c r="B20" s="101" t="s">
        <v>628</v>
      </c>
      <c r="C20" s="101" t="s">
        <v>543</v>
      </c>
      <c r="D20" s="101" t="s">
        <v>629</v>
      </c>
      <c r="E20" s="101" t="s">
        <v>630</v>
      </c>
      <c r="F20" s="101" t="s">
        <v>631</v>
      </c>
      <c r="G20" s="101" t="s">
        <v>632</v>
      </c>
      <c r="H20" s="102" t="s">
        <v>633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8"/>
  </cols>
  <sheetData>
    <row r="1" customFormat="false" ht="27.75" hidden="false" customHeight="true" outlineLevel="0" collapsed="false">
      <c r="A1" s="31" t="s">
        <v>634</v>
      </c>
      <c r="B1" s="31"/>
      <c r="C1" s="31"/>
      <c r="D1" s="31"/>
      <c r="E1" s="31"/>
      <c r="F1" s="31"/>
    </row>
    <row r="3" customFormat="false" ht="24" hidden="false" customHeight="true" outlineLevel="0" collapsed="false">
      <c r="A3" s="95" t="s">
        <v>635</v>
      </c>
      <c r="B3" s="95" t="s">
        <v>636</v>
      </c>
      <c r="C3" s="96" t="s">
        <v>518</v>
      </c>
      <c r="D3" s="97" t="s">
        <v>519</v>
      </c>
      <c r="E3" s="80" t="s">
        <v>520</v>
      </c>
      <c r="F3" s="90" t="s">
        <v>521</v>
      </c>
      <c r="G3" s="98" t="s">
        <v>6</v>
      </c>
      <c r="H3" s="99" t="s">
        <v>7</v>
      </c>
    </row>
    <row r="4" customFormat="false" ht="21.75" hidden="false" customHeight="true" outlineLevel="0" collapsed="false">
      <c r="A4" s="104" t="s">
        <v>637</v>
      </c>
      <c r="B4" s="104" t="s">
        <v>638</v>
      </c>
      <c r="C4" s="105" t="s">
        <v>639</v>
      </c>
      <c r="D4" s="106" t="s">
        <v>639</v>
      </c>
      <c r="E4" s="106" t="s">
        <v>640</v>
      </c>
      <c r="F4" s="106" t="s">
        <v>641</v>
      </c>
      <c r="G4" s="107" t="s">
        <v>642</v>
      </c>
      <c r="H4" s="107" t="s">
        <v>643</v>
      </c>
    </row>
    <row r="5" customFormat="false" ht="21.75" hidden="false" customHeight="true" outlineLevel="0" collapsed="false">
      <c r="A5" s="108" t="s">
        <v>644</v>
      </c>
      <c r="B5" s="108" t="s">
        <v>645</v>
      </c>
      <c r="C5" s="105" t="s">
        <v>646</v>
      </c>
      <c r="D5" s="106" t="s">
        <v>647</v>
      </c>
      <c r="E5" s="106" t="s">
        <v>648</v>
      </c>
      <c r="F5" s="106" t="s">
        <v>649</v>
      </c>
      <c r="G5" s="109" t="s">
        <v>650</v>
      </c>
      <c r="H5" s="109" t="s">
        <v>651</v>
      </c>
    </row>
    <row r="6" customFormat="false" ht="21.75" hidden="false" customHeight="true" outlineLevel="0" collapsed="false">
      <c r="A6" s="104" t="s">
        <v>652</v>
      </c>
      <c r="B6" s="104" t="s">
        <v>653</v>
      </c>
      <c r="C6" s="105" t="s">
        <v>654</v>
      </c>
      <c r="D6" s="106" t="s">
        <v>655</v>
      </c>
      <c r="E6" s="106" t="s">
        <v>656</v>
      </c>
      <c r="F6" s="106" t="s">
        <v>657</v>
      </c>
      <c r="G6" s="107" t="s">
        <v>658</v>
      </c>
      <c r="H6" s="107" t="s">
        <v>659</v>
      </c>
    </row>
    <row r="7" customFormat="false" ht="21.75" hidden="false" customHeight="true" outlineLevel="0" collapsed="false">
      <c r="A7" s="108" t="s">
        <v>660</v>
      </c>
      <c r="B7" s="108" t="s">
        <v>661</v>
      </c>
      <c r="C7" s="105" t="s">
        <v>662</v>
      </c>
      <c r="D7" s="106" t="s">
        <v>663</v>
      </c>
      <c r="E7" s="106" t="s">
        <v>664</v>
      </c>
      <c r="F7" s="106" t="s">
        <v>665</v>
      </c>
      <c r="G7" s="109" t="s">
        <v>666</v>
      </c>
      <c r="H7" s="109" t="s">
        <v>667</v>
      </c>
    </row>
    <row r="9" customFormat="false" ht="49.5" hidden="false" customHeight="true" outlineLevel="0" collapsed="false">
      <c r="A9" s="110" t="s">
        <v>668</v>
      </c>
      <c r="B9" s="110"/>
      <c r="C9" s="110"/>
      <c r="D9" s="110"/>
      <c r="E9" s="110"/>
      <c r="F9" s="110"/>
    </row>
  </sheetData>
  <mergeCells count="2">
    <mergeCell ref="A1:F1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2026-04-14T23:32:46Z</dcterms:created>
  <dc:creator>openpyxl</dc:creator>
  <dc:description/>
  <dc:language>en-US</dc:language>
  <cp:lastModifiedBy/>
  <dcterms:modified xsi:type="dcterms:W3CDTF">2026-04-14T23:32:46Z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